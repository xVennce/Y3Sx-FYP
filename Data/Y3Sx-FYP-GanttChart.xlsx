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codeName="ThisWorkbook"/>
  <xr:revisionPtr revIDLastSave="0" documentId="8_{C8EA05C0-8E8D-4F72-9745-1ED0177378B5}" xr6:coauthVersionLast="47" xr6:coauthVersionMax="47" xr10:uidLastSave="{00000000-0000-0000-0000-000000000000}"/>
  <bookViews>
    <workbookView xWindow="-120" yWindow="-120" windowWidth="29040" windowHeight="15720" xr2:uid="{00000000-000D-0000-FFFF-FFFF00000000}"/>
  </bookViews>
  <sheets>
    <sheet name="ProjectSchedule" sheetId="11" r:id="rId1"/>
    <sheet name="About" sheetId="12" r:id="rId2"/>
  </sheets>
  <definedNames>
    <definedName name="Display_Week">ProjectSchedule!$E$4</definedName>
    <definedName name="_xlnm.Print_Titles" localSheetId="0">ProjectSchedule!$4:$6</definedName>
    <definedName name="Project_Start">ProjectSchedule!$E$3</definedName>
    <definedName name="task_end" localSheetId="0">ProjectSchedule!$F1</definedName>
    <definedName name="task_progress" localSheetId="0">ProjectSchedule!$D1</definedName>
    <definedName name="task_start" localSheetId="0">ProjectSchedule!$E1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3" i="11" l="1"/>
  <c r="E33" i="11"/>
  <c r="F32" i="11"/>
  <c r="E32" i="11"/>
  <c r="F31" i="11"/>
  <c r="E31" i="11"/>
  <c r="F30" i="11"/>
  <c r="E30" i="11"/>
  <c r="F29" i="11"/>
  <c r="E29" i="11"/>
  <c r="F27" i="11"/>
  <c r="E27" i="11"/>
  <c r="F26" i="11"/>
  <c r="GP5" i="11"/>
  <c r="GP4" i="11" s="1"/>
  <c r="GQ5" i="11"/>
  <c r="GQ6" i="11" s="1"/>
  <c r="FN5" i="11"/>
  <c r="FN4" i="11" s="1"/>
  <c r="FN6" i="11"/>
  <c r="FG5" i="11"/>
  <c r="FG4" i="11" s="1"/>
  <c r="EZ5" i="11"/>
  <c r="EZ4" i="11" s="1"/>
  <c r="FA5" i="11"/>
  <c r="FB5" i="11" s="1"/>
  <c r="EZ6" i="11"/>
  <c r="FA6" i="11"/>
  <c r="E26" i="11"/>
  <c r="H7" i="11"/>
  <c r="GR5" i="11" l="1"/>
  <c r="GP6" i="11"/>
  <c r="FO5" i="11"/>
  <c r="FG6" i="11"/>
  <c r="FH5" i="11"/>
  <c r="FB6" i="11"/>
  <c r="FC5" i="11"/>
  <c r="E9" i="11"/>
  <c r="F9" i="11" s="1"/>
  <c r="E10" i="11" s="1"/>
  <c r="F10" i="11" s="1"/>
  <c r="E11" i="11" s="1"/>
  <c r="GS5" i="11" l="1"/>
  <c r="GR6" i="11"/>
  <c r="FO6" i="11"/>
  <c r="FP5" i="11"/>
  <c r="FI5" i="11"/>
  <c r="FH6" i="11"/>
  <c r="FC6" i="11"/>
  <c r="FD5" i="11"/>
  <c r="H21" i="11"/>
  <c r="I5" i="11"/>
  <c r="H32" i="11"/>
  <c r="H31" i="11"/>
  <c r="H30" i="11"/>
  <c r="H29" i="11"/>
  <c r="H28" i="11"/>
  <c r="H14" i="11"/>
  <c r="H8" i="11"/>
  <c r="GS6" i="11" l="1"/>
  <c r="GT5" i="11"/>
  <c r="FP6" i="11"/>
  <c r="FQ5" i="11"/>
  <c r="FJ5" i="11"/>
  <c r="FI6" i="11"/>
  <c r="FE5" i="11"/>
  <c r="FD6" i="11"/>
  <c r="H9" i="11"/>
  <c r="F11" i="11"/>
  <c r="E12" i="11" s="1"/>
  <c r="I6" i="11"/>
  <c r="GT6" i="11" l="1"/>
  <c r="GU5" i="11"/>
  <c r="FQ6" i="11"/>
  <c r="FR5" i="11"/>
  <c r="FK5" i="11"/>
  <c r="FJ6" i="11"/>
  <c r="FE6" i="11"/>
  <c r="FF5" i="11"/>
  <c r="FF6" i="11" s="1"/>
  <c r="H10" i="11"/>
  <c r="F12" i="11"/>
  <c r="E13" i="11" s="1"/>
  <c r="F13" i="11" s="1"/>
  <c r="E15" i="11" s="1"/>
  <c r="F15" i="11" s="1"/>
  <c r="E16" i="11" s="1"/>
  <c r="F16" i="11" s="1"/>
  <c r="E17" i="11" s="1"/>
  <c r="F17" i="11" s="1"/>
  <c r="E18" i="11" s="1"/>
  <c r="F18" i="11" s="1"/>
  <c r="J5" i="11"/>
  <c r="K5" i="11" s="1"/>
  <c r="L5" i="11" s="1"/>
  <c r="M5" i="11" s="1"/>
  <c r="N5" i="11" s="1"/>
  <c r="O5" i="11" s="1"/>
  <c r="P5" i="11" s="1"/>
  <c r="I4" i="11"/>
  <c r="GV5" i="11" l="1"/>
  <c r="GU6" i="11"/>
  <c r="FR6" i="11"/>
  <c r="FS5" i="11"/>
  <c r="FK6" i="11"/>
  <c r="FL5" i="11"/>
  <c r="H13" i="11"/>
  <c r="H11" i="11"/>
  <c r="H12" i="11"/>
  <c r="P4" i="11"/>
  <c r="Q5" i="11"/>
  <c r="R5" i="11" s="1"/>
  <c r="S5" i="11" s="1"/>
  <c r="T5" i="11" s="1"/>
  <c r="U5" i="11" s="1"/>
  <c r="V5" i="11" s="1"/>
  <c r="W5" i="11" s="1"/>
  <c r="J6" i="11"/>
  <c r="GV6" i="11" l="1"/>
  <c r="GW5" i="11"/>
  <c r="FS6" i="11"/>
  <c r="FT5" i="11"/>
  <c r="FL6" i="11"/>
  <c r="FM5" i="11"/>
  <c r="FM6" i="11" s="1"/>
  <c r="H15" i="11"/>
  <c r="E19" i="11"/>
  <c r="F19" i="11" s="1"/>
  <c r="E20" i="11" s="1"/>
  <c r="H16" i="11"/>
  <c r="W4" i="11"/>
  <c r="X5" i="11"/>
  <c r="Y5" i="11" s="1"/>
  <c r="Z5" i="11" s="1"/>
  <c r="AA5" i="11" s="1"/>
  <c r="AB5" i="11" s="1"/>
  <c r="AC5" i="11" s="1"/>
  <c r="AD5" i="11" s="1"/>
  <c r="K6" i="11"/>
  <c r="GX5" i="11" l="1"/>
  <c r="GW4" i="11"/>
  <c r="GW6" i="11"/>
  <c r="FT6" i="11"/>
  <c r="FU5" i="11"/>
  <c r="F20" i="11"/>
  <c r="E22" i="11" s="1"/>
  <c r="H20" i="11"/>
  <c r="H17" i="11"/>
  <c r="H18" i="11"/>
  <c r="AE5" i="11"/>
  <c r="AF5" i="11" s="1"/>
  <c r="AG5" i="11" s="1"/>
  <c r="AH5" i="11" s="1"/>
  <c r="AI5" i="11" s="1"/>
  <c r="AJ5" i="11" s="1"/>
  <c r="AD4" i="11"/>
  <c r="L6" i="11"/>
  <c r="GX6" i="11" l="1"/>
  <c r="GY5" i="11"/>
  <c r="FU4" i="11"/>
  <c r="FU6" i="11"/>
  <c r="FV5" i="11"/>
  <c r="F22" i="11"/>
  <c r="E23" i="11" s="1"/>
  <c r="F23" i="11" s="1"/>
  <c r="E24" i="11" s="1"/>
  <c r="H22" i="11"/>
  <c r="AK5" i="11"/>
  <c r="AL5" i="11" s="1"/>
  <c r="AM5" i="11" s="1"/>
  <c r="AN5" i="11" s="1"/>
  <c r="AO5" i="11" s="1"/>
  <c r="AP5" i="11" s="1"/>
  <c r="AQ5" i="11" s="1"/>
  <c r="M6" i="11"/>
  <c r="GY6" i="11" l="1"/>
  <c r="GZ5" i="11"/>
  <c r="FV6" i="11"/>
  <c r="FW5" i="11"/>
  <c r="F24" i="11"/>
  <c r="E25" i="11" s="1"/>
  <c r="H24" i="11"/>
  <c r="AR5" i="11"/>
  <c r="AS5" i="11" s="1"/>
  <c r="AK4" i="11"/>
  <c r="N6" i="11"/>
  <c r="GZ6" i="11" l="1"/>
  <c r="HA5" i="11"/>
  <c r="FW6" i="11"/>
  <c r="FX5" i="11"/>
  <c r="H27" i="11"/>
  <c r="F25" i="11"/>
  <c r="H23" i="11" s="1"/>
  <c r="H25" i="11"/>
  <c r="AT5" i="11"/>
  <c r="AS6" i="11"/>
  <c r="AR4" i="11"/>
  <c r="O6" i="11"/>
  <c r="HA6" i="11" l="1"/>
  <c r="HB5" i="11"/>
  <c r="FX6" i="11"/>
  <c r="FY5" i="11"/>
  <c r="H26" i="11"/>
  <c r="AU5" i="11"/>
  <c r="AT6" i="11"/>
  <c r="HB6" i="11" l="1"/>
  <c r="HC5" i="11"/>
  <c r="HC6" i="11" s="1"/>
  <c r="FZ5" i="11"/>
  <c r="FY6" i="11"/>
  <c r="AV5" i="11"/>
  <c r="AU6" i="11"/>
  <c r="P6" i="11"/>
  <c r="Q6" i="11"/>
  <c r="GA5" i="11" l="1"/>
  <c r="FZ6" i="11"/>
  <c r="AW5" i="11"/>
  <c r="AV6" i="11"/>
  <c r="R6" i="11"/>
  <c r="GB5" i="11" l="1"/>
  <c r="GA6" i="11"/>
  <c r="AX5" i="11"/>
  <c r="AY5" i="11" s="1"/>
  <c r="AW6" i="11"/>
  <c r="S6" i="11"/>
  <c r="GB4" i="11" l="1"/>
  <c r="GC5" i="11"/>
  <c r="GB6" i="11"/>
  <c r="AY6" i="11"/>
  <c r="AZ5" i="11"/>
  <c r="AY4" i="11"/>
  <c r="AX6" i="11"/>
  <c r="T6" i="11"/>
  <c r="GD5" i="11" l="1"/>
  <c r="GC6" i="11"/>
  <c r="BA5" i="11"/>
  <c r="AZ6" i="11"/>
  <c r="U6" i="11"/>
  <c r="GD6" i="11" l="1"/>
  <c r="GE5" i="11"/>
  <c r="BA6" i="11"/>
  <c r="BB5" i="11"/>
  <c r="V6" i="11"/>
  <c r="GE6" i="11" l="1"/>
  <c r="GF5" i="11"/>
  <c r="BB6" i="11"/>
  <c r="BC5" i="11"/>
  <c r="W6" i="11"/>
  <c r="GF6" i="11" l="1"/>
  <c r="GG5" i="11"/>
  <c r="BC6" i="11"/>
  <c r="BD5" i="11"/>
  <c r="X6" i="11"/>
  <c r="GG6" i="11" l="1"/>
  <c r="GH5" i="11"/>
  <c r="BE5" i="11"/>
  <c r="BD6" i="11"/>
  <c r="Y6" i="11"/>
  <c r="GH6" i="11" l="1"/>
  <c r="GI5" i="11"/>
  <c r="BE6" i="11"/>
  <c r="BF5" i="11"/>
  <c r="Z6" i="11"/>
  <c r="GI6" i="11" l="1"/>
  <c r="GI4" i="11"/>
  <c r="GJ5" i="11"/>
  <c r="BF6" i="11"/>
  <c r="BG5" i="11"/>
  <c r="BF4" i="11"/>
  <c r="AA6" i="11"/>
  <c r="GJ6" i="11" l="1"/>
  <c r="GK5" i="11"/>
  <c r="BG6" i="11"/>
  <c r="BH5" i="11"/>
  <c r="AB6" i="11"/>
  <c r="GK6" i="11" l="1"/>
  <c r="GL5" i="11"/>
  <c r="BI5" i="11"/>
  <c r="BH6" i="11"/>
  <c r="AC6" i="11"/>
  <c r="GL6" i="11" l="1"/>
  <c r="GM5" i="11"/>
  <c r="BJ5" i="11"/>
  <c r="BI6" i="11"/>
  <c r="AD6" i="11"/>
  <c r="GM6" i="11" l="1"/>
  <c r="GN5" i="11"/>
  <c r="BK5" i="11"/>
  <c r="BJ6" i="11"/>
  <c r="AE6" i="11"/>
  <c r="GN6" i="11" l="1"/>
  <c r="GO5" i="11"/>
  <c r="GO6" i="11" s="1"/>
  <c r="BL5" i="11"/>
  <c r="BM5" i="11" s="1"/>
  <c r="BK6" i="11"/>
  <c r="AF6" i="11"/>
  <c r="BM4" i="11" l="1"/>
  <c r="BN5" i="11"/>
  <c r="BM6" i="11"/>
  <c r="BL6" i="11"/>
  <c r="AG6" i="11"/>
  <c r="BN6" i="11" l="1"/>
  <c r="BO5" i="11"/>
  <c r="AH6" i="11"/>
  <c r="BP5" i="11" l="1"/>
  <c r="BO6" i="11"/>
  <c r="AI6" i="11"/>
  <c r="BQ5" i="11" l="1"/>
  <c r="BP6" i="11"/>
  <c r="AJ6" i="11"/>
  <c r="BR5" i="11" l="1"/>
  <c r="BQ6" i="11"/>
  <c r="AK6" i="11"/>
  <c r="BS5" i="11" l="1"/>
  <c r="BR6" i="11"/>
  <c r="AL6" i="11"/>
  <c r="BS6" i="11" l="1"/>
  <c r="BT5" i="11"/>
  <c r="AM6" i="11"/>
  <c r="BT4" i="11" l="1"/>
  <c r="BU5" i="11"/>
  <c r="BT6" i="11"/>
  <c r="AN6" i="11"/>
  <c r="BV5" i="11" l="1"/>
  <c r="BU6" i="11"/>
  <c r="AO6" i="11"/>
  <c r="BV6" i="11" l="1"/>
  <c r="BW5" i="11"/>
  <c r="AP6" i="11"/>
  <c r="BW6" i="11" l="1"/>
  <c r="BX5" i="11"/>
  <c r="AQ6" i="11"/>
  <c r="BX6" i="11" l="1"/>
  <c r="BY5" i="11"/>
  <c r="AR6" i="11"/>
  <c r="BY6" i="11" l="1"/>
  <c r="BZ5" i="11"/>
  <c r="BZ6" i="11" l="1"/>
  <c r="CA5" i="11"/>
  <c r="CA4" i="11" l="1"/>
  <c r="CA6" i="11"/>
  <c r="CB5" i="11"/>
  <c r="CB6" i="11" l="1"/>
  <c r="CC5" i="11"/>
  <c r="CC6" i="11" l="1"/>
  <c r="CD5" i="11"/>
  <c r="CE5" i="11" l="1"/>
  <c r="CD6" i="11"/>
  <c r="CE6" i="11" l="1"/>
  <c r="CF5" i="11"/>
  <c r="CF6" i="11" l="1"/>
  <c r="CG5" i="11"/>
  <c r="CG6" i="11" l="1"/>
  <c r="CH5" i="11"/>
  <c r="CH4" i="11" l="1"/>
  <c r="CH6" i="11"/>
  <c r="CI5" i="11"/>
  <c r="CJ5" i="11" l="1"/>
  <c r="CI6" i="11"/>
  <c r="CK5" i="11" l="1"/>
  <c r="CJ6" i="11"/>
  <c r="CK6" i="11" l="1"/>
  <c r="CL5" i="11"/>
  <c r="CL6" i="11" l="1"/>
  <c r="CM5" i="11"/>
  <c r="CN5" i="11" l="1"/>
  <c r="CM6" i="11"/>
  <c r="CN6" i="11" l="1"/>
  <c r="CO5" i="11"/>
  <c r="CP5" i="11" l="1"/>
  <c r="CO6" i="11"/>
  <c r="CO4" i="11"/>
  <c r="CQ5" i="11" l="1"/>
  <c r="CP6" i="11"/>
  <c r="CQ6" i="11" l="1"/>
  <c r="CR5" i="11"/>
  <c r="CR6" i="11" l="1"/>
  <c r="CS5" i="11"/>
  <c r="CT5" i="11" l="1"/>
  <c r="CS6" i="11"/>
  <c r="CT6" i="11" l="1"/>
  <c r="CU5" i="11"/>
  <c r="CU6" i="11" l="1"/>
  <c r="CV5" i="11"/>
  <c r="CV4" i="11" l="1"/>
  <c r="CV6" i="11"/>
  <c r="CW5" i="11"/>
  <c r="CW6" i="11" l="1"/>
  <c r="CX5" i="11"/>
  <c r="CX6" i="11" l="1"/>
  <c r="CY5" i="11"/>
  <c r="CY6" i="11" l="1"/>
  <c r="CZ5" i="11"/>
  <c r="CZ6" i="11" l="1"/>
  <c r="DA5" i="11"/>
  <c r="DA6" i="11" l="1"/>
  <c r="DB5" i="11"/>
  <c r="DC5" i="11" l="1"/>
  <c r="DB6" i="11"/>
  <c r="DC4" i="11" l="1"/>
  <c r="DC6" i="11"/>
  <c r="DD5" i="11"/>
  <c r="DD6" i="11" l="1"/>
  <c r="DE5" i="11"/>
  <c r="DF5" i="11" l="1"/>
  <c r="DE6" i="11"/>
  <c r="DG5" i="11" l="1"/>
  <c r="DF6" i="11"/>
  <c r="DH5" i="11" l="1"/>
  <c r="DG6" i="11"/>
  <c r="DI5" i="11" l="1"/>
  <c r="DH6" i="11"/>
  <c r="DI6" i="11" l="1"/>
  <c r="DJ5" i="11"/>
  <c r="DJ4" i="11" l="1"/>
  <c r="DJ6" i="11"/>
  <c r="DK5" i="11"/>
  <c r="DL5" i="11" l="1"/>
  <c r="DK6" i="11"/>
  <c r="DM5" i="11" l="1"/>
  <c r="DL6" i="11"/>
  <c r="DN5" i="11" l="1"/>
  <c r="DM6" i="11"/>
  <c r="DO5" i="11" l="1"/>
  <c r="DN6" i="11"/>
  <c r="DP5" i="11" l="1"/>
  <c r="DO6" i="11"/>
  <c r="DP6" i="11" l="1"/>
  <c r="DQ5" i="11"/>
  <c r="DQ4" i="11" l="1"/>
  <c r="DQ6" i="11"/>
  <c r="DR5" i="11"/>
  <c r="DS5" i="11" l="1"/>
  <c r="DR6" i="11"/>
  <c r="DT5" i="11" l="1"/>
  <c r="DS6" i="11"/>
  <c r="DT6" i="11" l="1"/>
  <c r="DU5" i="11"/>
  <c r="DV5" i="11" l="1"/>
  <c r="DU6" i="11"/>
  <c r="DW5" i="11" l="1"/>
  <c r="DV6" i="11"/>
  <c r="DW6" i="11" l="1"/>
  <c r="DX5" i="11"/>
  <c r="DX4" i="11" l="1"/>
  <c r="DY5" i="11"/>
  <c r="DX6" i="11"/>
  <c r="DY6" i="11" l="1"/>
  <c r="DZ5" i="11"/>
  <c r="EA5" i="11" l="1"/>
  <c r="DZ6" i="11"/>
  <c r="EB5" i="11" l="1"/>
  <c r="EA6" i="11"/>
  <c r="EC5" i="11" l="1"/>
  <c r="EB6" i="11"/>
  <c r="ED5" i="11" l="1"/>
  <c r="EC6" i="11"/>
  <c r="ED6" i="11" l="1"/>
  <c r="EE5" i="11"/>
  <c r="EF5" i="11" l="1"/>
  <c r="EE4" i="11"/>
  <c r="EE6" i="11"/>
  <c r="EF6" i="11" l="1"/>
  <c r="EG5" i="11"/>
  <c r="EH5" i="11" l="1"/>
  <c r="EG6" i="11"/>
  <c r="EH6" i="11" l="1"/>
  <c r="EI5" i="11"/>
  <c r="EJ5" i="11" l="1"/>
  <c r="EI6" i="11"/>
  <c r="EJ6" i="11" l="1"/>
  <c r="EK5" i="11"/>
  <c r="EK6" i="11" l="1"/>
  <c r="EL5" i="11"/>
  <c r="EM5" i="11" l="1"/>
  <c r="EL4" i="11"/>
  <c r="EL6" i="11"/>
  <c r="EN5" i="11" l="1"/>
  <c r="EM6" i="11"/>
  <c r="EO5" i="11" l="1"/>
  <c r="EN6" i="11"/>
  <c r="EO6" i="11" l="1"/>
  <c r="EP5" i="11"/>
  <c r="EP6" i="11" l="1"/>
  <c r="EQ5" i="11"/>
  <c r="EQ6" i="11" l="1"/>
  <c r="ER5" i="11"/>
  <c r="ER6" i="11" l="1"/>
  <c r="ES5" i="11"/>
  <c r="ES4" i="11" l="1"/>
  <c r="ES6" i="11"/>
  <c r="ET5" i="11"/>
  <c r="EU5" i="11" l="1"/>
  <c r="ET6" i="11"/>
  <c r="EU6" i="11" l="1"/>
  <c r="EV5" i="11"/>
  <c r="EV6" i="11" l="1"/>
  <c r="EW5" i="11"/>
  <c r="EW6" i="11" l="1"/>
  <c r="EX5" i="11"/>
  <c r="EX6" i="11" l="1"/>
  <c r="EY5" i="11"/>
  <c r="EY6" i="11" s="1"/>
</calcChain>
</file>

<file path=xl/sharedStrings.xml><?xml version="1.0" encoding="utf-8"?>
<sst xmlns="http://schemas.openxmlformats.org/spreadsheetml/2006/main" count="64" uniqueCount="64">
  <si>
    <t>Create a Project Schedule in this worksheet.
Enter title of this project in cell B1. 
Information about how to use this worksheet, including instructions for screen readers and the author of this workbook is in the About worksheet.
Continue navigating down column A to hear further instructions.</t>
  </si>
  <si>
    <t>Enter Company Name in cell B2.</t>
  </si>
  <si>
    <t>Enter the name of the Project Lead in cell B3. Enter the Project Start date in cell E3. Pooject Start: label is in cell C3.</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</si>
  <si>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</si>
  <si>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</si>
  <si>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</si>
  <si>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 xml:space="preserve">Do not delete this row. This row is hidden to preserve a formula that is used to highlight the curren day within the project schedule. </t>
  </si>
  <si>
    <t>Cell B8 contains the Phase 1 sample title. 
Enter a new Title in cell B8.
Enter a name to assign the phase to, if it applies for your project, in cell C8.
Enter Progress for the entire phase, if it applies for your project, in cell D8.
Enter the start and end dates for the entire phase, if it applies for your project, in cells E8 and F8. 
The Gantt chart will automatically fill in the appropriate dates and shade according to the progress entered.
To delete the phase and work only from tasks, simply delete this row.</t>
  </si>
  <si>
    <t xml:space="preserve">Cell B9 contains the sample task "Task 1." 
Enter a new task name in cell B9.
Enter a person to assign the task to in cell C9.
Enter progres of the task in cell D9. A progress bar appears in the cell and is shaded according to the number in the cell. For example, 50 percent progress would shade half of the cell.
Enter task start date in cell E9.
Enter task end date in cell F9.
A status bar shaded for the dates entered appears in blocks starting from cell I9 through BL9. </t>
  </si>
  <si>
    <t>Rows 10 through 13 repeat the pattern from row 9. 
Repeat the instructions from cell A9 for all task rows in this worksheet. Overwrite any sample data.
A sample of another phase starts in cell A14. 
Continue entering tasks in cells A10 through A13 or go to cell A14 to learn more.</t>
  </si>
  <si>
    <t>The cell at right contains the Phase 2 sample title. 
You can create a new phase at any time within column B. This project schedule does not require phases. To remove the phase, simply delete the row.
To create a new phase block in this row, enter a new Title in cell at right.
To continue adding tasks to the phase above, enter a new row above this one and fill in the task data as in cell A9's instruction.
Update the Phase details in cell at right based on cell A8's instruction.
Continue navigating down column A cells to learn more.
If you haven't added any new rows in this worksheet, you will find 2 additional sample phase blocks have been created for you in cells B20 and B26. Otherwise, navigate through column A cells to find the additional blocks. 
Repeat the instructions from cells A8 and A9 whenever you need to.</t>
  </si>
  <si>
    <t>Sample phase title block</t>
  </si>
  <si>
    <t>This is an empty row</t>
  </si>
  <si>
    <t>This row marks the end of the Project Schedule. DO NOT enter anything in this row. 
Insert new rows ABOVE this one to continue building out your Project Schedule.</t>
  </si>
  <si>
    <t>TASK</t>
  </si>
  <si>
    <t>Insert new rows ABOVE this one</t>
  </si>
  <si>
    <t>Project Start:</t>
  </si>
  <si>
    <t>Display Week:</t>
  </si>
  <si>
    <t>PROGRESS</t>
  </si>
  <si>
    <t>START</t>
  </si>
  <si>
    <t>END</t>
  </si>
  <si>
    <t>DAYS</t>
  </si>
  <si>
    <t>SIMPLE GANTT CHART by Vertex42.com</t>
  </si>
  <si>
    <t>https://www.vertex42.com/ExcelTemplates/simple-gantt-chart.html</t>
  </si>
  <si>
    <t>About This Template</t>
  </si>
  <si>
    <t>This template provides a simple way to create a Gantt chart to help visualise and track your project. Simply enter your tasks and start and end dates - no formulae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</si>
  <si>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</si>
  <si>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</si>
  <si>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</si>
  <si>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colours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</si>
  <si>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</si>
  <si>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</si>
  <si>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</si>
  <si>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</si>
  <si>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</si>
  <si>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amortisation.</t>
  </si>
  <si>
    <t>Businesses will find invoices, time sheets, inventory trackers, financial statements, and project planning templates. Teachers and students will find resources such as class schedules, grade books, and attendance sheets. Organise your family life with meal planners, checklists, and exercise logs. Each template is thoroughly researched, refined, and improved over time through feedback from thousands of users.</t>
  </si>
  <si>
    <t>Cozy Game Balance: At What Point Does a Cozy Game Lose Its Identity as a Video Game</t>
  </si>
  <si>
    <t>Phase 1: Draft</t>
  </si>
  <si>
    <t>Lit review</t>
  </si>
  <si>
    <t>Sec 4 + 5: Design and ethics</t>
  </si>
  <si>
    <t>Sec 3: Project planning</t>
  </si>
  <si>
    <t>Sec 2: Review</t>
  </si>
  <si>
    <t>Sec 1: Intro</t>
  </si>
  <si>
    <t>Phase 2: Feedback and review</t>
  </si>
  <si>
    <t>Change FYP focus</t>
  </si>
  <si>
    <t>Rewrite introduction</t>
  </si>
  <si>
    <t>Rewrite objectives + scope</t>
  </si>
  <si>
    <t>Expand lit review</t>
  </si>
  <si>
    <t>Phase 3:Artifact</t>
  </si>
  <si>
    <t>Received feedback</t>
  </si>
  <si>
    <t>Discuss feedback</t>
  </si>
  <si>
    <t>Create design concept</t>
  </si>
  <si>
    <t>Create menu layout</t>
  </si>
  <si>
    <t>Whitebox levels</t>
  </si>
  <si>
    <t>Create mechanics</t>
  </si>
  <si>
    <t>Internal Testing</t>
  </si>
  <si>
    <t>Finalise level design</t>
  </si>
  <si>
    <t>Phase 4:Final Document</t>
  </si>
  <si>
    <t>Artefact Design</t>
  </si>
  <si>
    <t>Implementation</t>
  </si>
  <si>
    <t>Survey Analysis &amp; Results</t>
  </si>
  <si>
    <t>Conclusion</t>
  </si>
  <si>
    <t>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</si>
</sst>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2" formatCode="_-&quot;£&quot;* #,##0_-;\-&quot;£&quot;* #,##0_-;_-&quot;£&quot;* &quot;-&quot;_-;_-@_-"/>
    <numFmt numFmtId="44" formatCode="_-&quot;£&quot;* #,##0.00_-;\-&quot;£&quot;* #,##0.00_-;_-&quot;£&quot;* &quot;-&quot;??_-;_-@_-"/>
    <numFmt numFmtId="164" formatCode="_(* #,##0_);_(* \(#,##0\);_(* &quot;-&quot;_);_(@_)"/>
    <numFmt numFmtId="165" formatCode="_(* #,##0.00_);_(* \(#,##0.00\);_(* &quot;-&quot;??_);_(@_)"/>
    <numFmt numFmtId="166" formatCode="ddd\,\ dd/mm/yyyy"/>
    <numFmt numFmtId="167" formatCode="d/m/yy;@"/>
    <numFmt numFmtId="168" formatCode="d"/>
    <numFmt numFmtId="169" formatCode="d\ mmm\ yyyy"/>
  </numFmts>
  <fonts count="37"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45">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165"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6" fontId="9" fillId="0" borderId="3">
      <alignment horizontal="center" vertical="center"/>
    </xf>
    <xf numFmtId="167"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25" fillId="0" borderId="0" applyNumberFormat="0" applyFill="0" applyBorder="0" applyAlignment="0" applyProtection="0"/>
    <xf numFmtId="164" fontId="9"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0" fontId="26" fillId="0" borderId="0" applyNumberFormat="0" applyFill="0" applyBorder="0" applyAlignment="0" applyProtection="0"/>
    <xf numFmtId="0" fontId="27" fillId="14" borderId="0" applyNumberFormat="0" applyBorder="0" applyAlignment="0" applyProtection="0"/>
    <xf numFmtId="0" fontId="28" fillId="15" borderId="0" applyNumberFormat="0" applyBorder="0" applyAlignment="0" applyProtection="0"/>
    <xf numFmtId="0" fontId="29" fillId="16" borderId="0" applyNumberFormat="0" applyBorder="0" applyAlignment="0" applyProtection="0"/>
    <xf numFmtId="0" fontId="30" fillId="17" borderId="11" applyNumberFormat="0" applyAlignment="0" applyProtection="0"/>
    <xf numFmtId="0" fontId="31" fillId="18" borderId="12" applyNumberFormat="0" applyAlignment="0" applyProtection="0"/>
    <xf numFmtId="0" fontId="32" fillId="18" borderId="11" applyNumberFormat="0" applyAlignment="0" applyProtection="0"/>
    <xf numFmtId="0" fontId="33" fillId="0" borderId="13" applyNumberFormat="0" applyFill="0" applyAlignment="0" applyProtection="0"/>
    <xf numFmtId="0" fontId="34" fillId="19" borderId="14" applyNumberFormat="0" applyAlignment="0" applyProtection="0"/>
    <xf numFmtId="0" fontId="35" fillId="0" borderId="0" applyNumberFormat="0" applyFill="0" applyBorder="0" applyAlignment="0" applyProtection="0"/>
    <xf numFmtId="0" fontId="9" fillId="20" borderId="15" applyNumberFormat="0" applyFont="0" applyAlignment="0" applyProtection="0"/>
    <xf numFmtId="0" fontId="36" fillId="0" borderId="0" applyNumberFormat="0" applyFill="0" applyBorder="0" applyAlignment="0" applyProtection="0"/>
    <xf numFmtId="0" fontId="6" fillId="0" borderId="16" applyNumberFormat="0" applyFill="0" applyAlignment="0" applyProtection="0"/>
    <xf numFmtId="0" fontId="22"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22"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22" fillId="29"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22" fillId="33" borderId="0" applyNumberFormat="0" applyBorder="0" applyAlignment="0" applyProtection="0"/>
    <xf numFmtId="0" fontId="9"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22" fillId="37" borderId="0" applyNumberFormat="0" applyBorder="0" applyAlignment="0" applyProtection="0"/>
    <xf numFmtId="0" fontId="9" fillId="38" borderId="0" applyNumberFormat="0" applyBorder="0" applyAlignment="0" applyProtection="0"/>
    <xf numFmtId="0" fontId="9" fillId="39" borderId="0" applyNumberFormat="0" applyBorder="0" applyAlignment="0" applyProtection="0"/>
    <xf numFmtId="0" fontId="9" fillId="40" borderId="0" applyNumberFormat="0" applyBorder="0" applyAlignment="0" applyProtection="0"/>
    <xf numFmtId="0" fontId="22" fillId="41"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4" borderId="0" applyNumberFormat="0" applyBorder="0" applyAlignment="0" applyProtection="0"/>
  </cellStyleXfs>
  <cellXfs count="95">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0" fontId="12" fillId="12"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9" fontId="5" fillId="3" borderId="2" xfId="2" applyFont="1" applyFill="1" applyBorder="1" applyAlignment="1">
      <alignment horizontal="center" vertical="center"/>
    </xf>
    <xf numFmtId="0" fontId="6" fillId="9" borderId="2" xfId="0" applyFont="1" applyFill="1" applyBorder="1" applyAlignment="1">
      <alignment horizontal="left" vertical="center" indent="1"/>
    </xf>
    <xf numFmtId="9" fontId="5" fillId="9" borderId="2" xfId="2" applyFont="1" applyFill="1" applyBorder="1" applyAlignment="1">
      <alignment horizontal="center" vertical="center"/>
    </xf>
    <xf numFmtId="9" fontId="5" fillId="4" borderId="2" xfId="2" applyFont="1" applyFill="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9" fontId="5" fillId="11"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9" fontId="5" fillId="10"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0" fillId="0" borderId="0" xfId="0" applyAlignment="1">
      <alignment wrapText="1"/>
    </xf>
    <xf numFmtId="0" fontId="13" fillId="0" borderId="0" xfId="5" applyAlignment="1">
      <alignment horizontal="left"/>
    </xf>
    <xf numFmtId="0" fontId="10" fillId="0" borderId="0" xfId="6"/>
    <xf numFmtId="0" fontId="10" fillId="0" borderId="0" xfId="7">
      <alignment vertical="top"/>
    </xf>
    <xf numFmtId="0" fontId="9" fillId="8" borderId="2" xfId="11" applyFill="1">
      <alignment horizontal="center" vertical="center"/>
    </xf>
    <xf numFmtId="0" fontId="9" fillId="3" borderId="2" xfId="11" applyFill="1">
      <alignment horizontal="center" vertical="center"/>
    </xf>
    <xf numFmtId="0" fontId="9" fillId="9" borderId="2" xfId="11" applyFill="1">
      <alignment horizontal="center" vertical="center"/>
    </xf>
    <xf numFmtId="0" fontId="9" fillId="4" borderId="2" xfId="11" applyFill="1">
      <alignment horizontal="center" vertical="center"/>
    </xf>
    <xf numFmtId="0" fontId="9" fillId="6" borderId="2" xfId="11" applyFill="1">
      <alignment horizontal="center" vertical="center"/>
    </xf>
    <xf numFmtId="0" fontId="9" fillId="11" borderId="2" xfId="11" applyFill="1">
      <alignment horizontal="center" vertical="center"/>
    </xf>
    <xf numFmtId="0" fontId="9" fillId="5" borderId="2" xfId="11" applyFill="1">
      <alignment horizontal="center" vertical="center"/>
    </xf>
    <xf numFmtId="0" fontId="9" fillId="10"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11" borderId="2" xfId="12" applyFill="1">
      <alignment horizontal="left" vertical="center" indent="2"/>
    </xf>
    <xf numFmtId="0" fontId="9" fillId="0" borderId="2" xfId="12">
      <alignment horizontal="left" vertical="center" indent="2"/>
    </xf>
    <xf numFmtId="0" fontId="0" fillId="0" borderId="10" xfId="0" applyBorder="1"/>
    <xf numFmtId="0" fontId="23" fillId="0" borderId="0" xfId="0" applyFont="1"/>
    <xf numFmtId="0" fontId="5" fillId="0" borderId="0" xfId="0" applyFont="1" applyAlignment="1">
      <alignment vertical="top"/>
    </xf>
    <xf numFmtId="167" fontId="0" fillId="8" borderId="2" xfId="0" applyNumberFormat="1" applyFill="1" applyBorder="1" applyAlignment="1">
      <alignment horizontal="center" vertical="center"/>
    </xf>
    <xf numFmtId="167" fontId="5" fillId="8" borderId="2" xfId="0" applyNumberFormat="1" applyFont="1" applyFill="1" applyBorder="1" applyAlignment="1">
      <alignment horizontal="center" vertical="center"/>
    </xf>
    <xf numFmtId="167" fontId="9" fillId="3" borderId="2" xfId="10" applyFill="1">
      <alignment horizontal="center" vertical="center"/>
    </xf>
    <xf numFmtId="167" fontId="0" fillId="9" borderId="2" xfId="0" applyNumberFormat="1" applyFill="1" applyBorder="1" applyAlignment="1">
      <alignment horizontal="center" vertical="center"/>
    </xf>
    <xf numFmtId="167" fontId="5" fillId="9" borderId="2" xfId="0" applyNumberFormat="1" applyFont="1" applyFill="1" applyBorder="1" applyAlignment="1">
      <alignment horizontal="center" vertical="center"/>
    </xf>
    <xf numFmtId="167" fontId="9" fillId="4" borderId="2" xfId="10" applyFill="1">
      <alignment horizontal="center" vertical="center"/>
    </xf>
    <xf numFmtId="167" fontId="0" fillId="6" borderId="2" xfId="0" applyNumberFormat="1" applyFill="1" applyBorder="1" applyAlignment="1">
      <alignment horizontal="center" vertical="center"/>
    </xf>
    <xf numFmtId="167" fontId="5" fillId="6" borderId="2" xfId="0" applyNumberFormat="1" applyFont="1" applyFill="1" applyBorder="1" applyAlignment="1">
      <alignment horizontal="center" vertical="center"/>
    </xf>
    <xf numFmtId="167" fontId="9" fillId="11" borderId="2" xfId="10" applyFill="1">
      <alignment horizontal="center" vertical="center"/>
    </xf>
    <xf numFmtId="167" fontId="0" fillId="5" borderId="2" xfId="0" applyNumberFormat="1" applyFill="1" applyBorder="1" applyAlignment="1">
      <alignment horizontal="center" vertical="center"/>
    </xf>
    <xf numFmtId="167" fontId="5" fillId="5" borderId="2" xfId="0" applyNumberFormat="1" applyFont="1" applyFill="1" applyBorder="1" applyAlignment="1">
      <alignment horizontal="center" vertical="center"/>
    </xf>
    <xf numFmtId="167" fontId="9" fillId="10" borderId="2" xfId="10" applyFill="1">
      <alignment horizontal="center" vertical="center"/>
    </xf>
    <xf numFmtId="167" fontId="9" fillId="0" borderId="2" xfId="10">
      <alignment horizontal="center" vertical="center"/>
    </xf>
    <xf numFmtId="167" fontId="4" fillId="2" borderId="2" xfId="0" applyNumberFormat="1" applyFont="1" applyFill="1" applyBorder="1" applyAlignment="1">
      <alignment horizontal="left" vertical="center"/>
    </xf>
    <xf numFmtId="167" fontId="5" fillId="2" borderId="2" xfId="0" applyNumberFormat="1" applyFont="1" applyFill="1" applyBorder="1" applyAlignment="1">
      <alignment horizontal="center" vertical="center"/>
    </xf>
    <xf numFmtId="168" fontId="11" fillId="7" borderId="6" xfId="0" applyNumberFormat="1" applyFont="1" applyFill="1" applyBorder="1" applyAlignment="1">
      <alignment horizontal="center" vertical="center"/>
    </xf>
    <xf numFmtId="168" fontId="11" fillId="7" borderId="0" xfId="0" applyNumberFormat="1" applyFont="1" applyFill="1" applyAlignment="1">
      <alignment horizontal="center" vertical="center"/>
    </xf>
    <xf numFmtId="168" fontId="11" fillId="7" borderId="7" xfId="0" applyNumberFormat="1" applyFont="1" applyFill="1" applyBorder="1" applyAlignment="1">
      <alignment horizontal="center" vertical="center"/>
    </xf>
    <xf numFmtId="0" fontId="3" fillId="0" borderId="0" xfId="1" applyAlignment="1" applyProtection="1"/>
    <xf numFmtId="0" fontId="24" fillId="0" borderId="0" xfId="1" applyFont="1" applyAlignment="1" applyProtection="1"/>
    <xf numFmtId="169" fontId="0" fillId="7" borderId="4" xfId="0" applyNumberFormat="1" applyFill="1" applyBorder="1" applyAlignment="1">
      <alignment horizontal="left" vertical="center" wrapText="1" indent="1"/>
    </xf>
    <xf numFmtId="169" fontId="0" fillId="7" borderId="1" xfId="0" applyNumberFormat="1" applyFill="1" applyBorder="1" applyAlignment="1">
      <alignment horizontal="left" vertical="center" wrapText="1" indent="1"/>
    </xf>
    <xf numFmtId="169" fontId="0" fillId="7" borderId="5" xfId="0" applyNumberFormat="1" applyFill="1" applyBorder="1" applyAlignment="1">
      <alignment horizontal="left" vertical="center" wrapText="1" indent="1"/>
    </xf>
    <xf numFmtId="166" fontId="9" fillId="0" borderId="3" xfId="9">
      <alignment horizontal="center" vertical="center"/>
    </xf>
    <xf numFmtId="0" fontId="9" fillId="0" borderId="0" xfId="8">
      <alignment horizontal="right" indent="1"/>
    </xf>
    <xf numFmtId="0" fontId="9" fillId="0" borderId="7" xfId="8" applyBorder="1">
      <alignment horizontal="right" indent="1"/>
    </xf>
    <xf numFmtId="0" fontId="0" fillId="10" borderId="2" xfId="12" applyFont="1" applyFill="1">
      <alignment horizontal="left" vertical="center" indent="2"/>
    </xf>
  </cellXfs>
  <cellStyles count="54">
    <cellStyle name="20% - Accent1" xfId="31" builtinId="30" customBuiltin="1"/>
    <cellStyle name="20% - Accent2" xfId="35" builtinId="34" customBuiltin="1"/>
    <cellStyle name="20% - Accent3" xfId="39" builtinId="38" customBuiltin="1"/>
    <cellStyle name="20% - Accent4" xfId="43" builtinId="42" customBuiltin="1"/>
    <cellStyle name="20% - Accent5" xfId="47" builtinId="46" customBuiltin="1"/>
    <cellStyle name="20% - Accent6" xfId="51" builtinId="50" customBuiltin="1"/>
    <cellStyle name="40% - Accent1" xfId="32" builtinId="31" customBuiltin="1"/>
    <cellStyle name="40% - Accent2" xfId="36" builtinId="35" customBuiltin="1"/>
    <cellStyle name="40% - Accent3" xfId="40" builtinId="39" customBuiltin="1"/>
    <cellStyle name="40% - Accent4" xfId="44" builtinId="43" customBuiltin="1"/>
    <cellStyle name="40% - Accent5" xfId="48" builtinId="47" customBuiltin="1"/>
    <cellStyle name="40% - Accent6" xfId="52" builtinId="51" customBuiltin="1"/>
    <cellStyle name="60% - Accent1" xfId="33" builtinId="32" customBuiltin="1"/>
    <cellStyle name="60% - Accent2" xfId="37" builtinId="36" customBuiltin="1"/>
    <cellStyle name="60% - Accent3" xfId="41" builtinId="40" customBuiltin="1"/>
    <cellStyle name="60% - Accent4" xfId="45" builtinId="44" customBuiltin="1"/>
    <cellStyle name="60% - Accent5" xfId="49" builtinId="48" customBuiltin="1"/>
    <cellStyle name="60% - Accent6" xfId="53" builtinId="52" customBuiltin="1"/>
    <cellStyle name="Accent1" xfId="30" builtinId="29" customBuiltin="1"/>
    <cellStyle name="Accent2" xfId="34" builtinId="33" customBuiltin="1"/>
    <cellStyle name="Accent3" xfId="38" builtinId="37" customBuiltin="1"/>
    <cellStyle name="Accent4" xfId="42" builtinId="41" customBuiltin="1"/>
    <cellStyle name="Accent5" xfId="46" builtinId="45" customBuiltin="1"/>
    <cellStyle name="Accent6" xfId="50" builtinId="49" customBuiltin="1"/>
    <cellStyle name="Bad" xfId="19" builtinId="27" customBuiltin="1"/>
    <cellStyle name="Calculation" xfId="23" builtinId="22" customBuiltin="1"/>
    <cellStyle name="Check Cell" xfId="25" builtinId="23" customBuiltin="1"/>
    <cellStyle name="Comma" xfId="4" builtinId="3" customBuiltin="1"/>
    <cellStyle name="Comma [0]" xfId="14" builtinId="6" customBuiltin="1"/>
    <cellStyle name="Currency" xfId="15" builtinId="4" customBuiltin="1"/>
    <cellStyle name="Currency [0]" xfId="16" builtinId="7" customBuiltin="1"/>
    <cellStyle name="Date" xfId="10" xr:uid="{229918B6-DD13-4F5A-97B9-305F7E002AA3}"/>
    <cellStyle name="Explanatory Text" xfId="28" builtinId="53" customBuiltin="1"/>
    <cellStyle name="Followed Hyperlink" xfId="13" builtinId="9" customBuiltin="1"/>
    <cellStyle name="Good" xfId="18" builtinId="26" customBuiltin="1"/>
    <cellStyle name="Heading 1" xfId="6" builtinId="16" customBuiltin="1"/>
    <cellStyle name="Heading 2" xfId="7" builtinId="17" customBuiltin="1"/>
    <cellStyle name="Heading 3" xfId="8" builtinId="18" customBuiltin="1"/>
    <cellStyle name="Heading 4" xfId="17" builtinId="19" customBuiltin="1"/>
    <cellStyle name="Hyperlink" xfId="1" builtinId="8" customBuiltin="1"/>
    <cellStyle name="Input" xfId="21" builtinId="20" customBuiltin="1"/>
    <cellStyle name="Linked Cell" xfId="24" builtinId="24" customBuiltin="1"/>
    <cellStyle name="Name" xfId="11" xr:uid="{B2D3C1EE-6B41-4801-AAFC-C2274E49E503}"/>
    <cellStyle name="Neutral" xfId="20" builtinId="28" customBuiltin="1"/>
    <cellStyle name="Normal" xfId="0" builtinId="0" customBuiltin="1"/>
    <cellStyle name="Note" xfId="27" builtinId="10" customBuiltin="1"/>
    <cellStyle name="Output" xfId="22" builtinId="21" customBuiltin="1"/>
    <cellStyle name="Percent" xfId="2" builtinId="5" customBuiltin="1"/>
    <cellStyle name="Project Start" xfId="9" xr:uid="{8EB8A09A-C31C-40A3-B2C1-9449520178B8}"/>
    <cellStyle name="Task" xfId="12" xr:uid="{6391D789-272B-4DD2-9BF3-2CDCF610FA41}"/>
    <cellStyle name="Title" xfId="5" builtinId="15" customBuiltin="1"/>
    <cellStyle name="Total" xfId="29" builtinId="25" customBuiltin="1"/>
    <cellStyle name="Warning Text" xfId="26" builtinId="11" customBuiltin="1"/>
    <cellStyle name="zHiddenText"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HC38"/>
  <sheetViews>
    <sheetView showGridLines="0" tabSelected="1" showRuler="0" zoomScale="55" zoomScaleNormal="55" zoomScalePageLayoutView="70" workbookViewId="0">
      <pane ySplit="6" topLeftCell="A11" activePane="bottomLeft" state="frozen"/>
      <selection pane="bottomLeft" activeCell="Q35" sqref="Q35"/>
    </sheetView>
  </sheetViews>
  <sheetFormatPr defaultRowHeight="30" customHeight="1" x14ac:dyDescent="0.25"/>
  <cols>
    <col min="1" max="1" width="2.7109375" style="45" customWidth="1"/>
    <col min="2" max="2" width="19.85546875" customWidth="1"/>
    <col min="3" max="3" width="7" customWidth="1"/>
    <col min="4" max="4" width="10.7109375" customWidth="1"/>
    <col min="5" max="5" width="10.42578125" style="5" customWidth="1"/>
    <col min="6" max="6" width="10.42578125" customWidth="1"/>
    <col min="7" max="7" width="2.7109375" customWidth="1"/>
    <col min="8" max="8" width="6.140625" hidden="1" customWidth="1"/>
    <col min="9" max="211" width="2.5703125" customWidth="1"/>
  </cols>
  <sheetData>
    <row r="1" spans="1:211" ht="30" customHeight="1" x14ac:dyDescent="0.45">
      <c r="A1" s="46" t="s">
        <v>0</v>
      </c>
      <c r="B1" s="49" t="s">
        <v>37</v>
      </c>
      <c r="C1" s="1"/>
      <c r="D1" s="2"/>
      <c r="E1" s="4"/>
      <c r="F1" s="34"/>
      <c r="H1" s="2"/>
      <c r="I1" s="66"/>
    </row>
    <row r="2" spans="1:211" ht="30" customHeight="1" x14ac:dyDescent="0.3">
      <c r="A2" s="45" t="s">
        <v>1</v>
      </c>
      <c r="B2" s="50"/>
      <c r="I2" s="87"/>
      <c r="W2" s="86"/>
    </row>
    <row r="3" spans="1:211" ht="30" customHeight="1" x14ac:dyDescent="0.25">
      <c r="A3" s="45" t="s">
        <v>2</v>
      </c>
      <c r="B3" s="51"/>
      <c r="C3" s="92" t="s">
        <v>16</v>
      </c>
      <c r="D3" s="93"/>
      <c r="E3" s="91">
        <v>45923</v>
      </c>
      <c r="F3" s="91"/>
    </row>
    <row r="4" spans="1:211" ht="30" customHeight="1" x14ac:dyDescent="0.25">
      <c r="A4" s="46" t="s">
        <v>3</v>
      </c>
      <c r="C4" s="92" t="s">
        <v>17</v>
      </c>
      <c r="D4" s="93"/>
      <c r="E4" s="7">
        <v>1</v>
      </c>
      <c r="I4" s="88">
        <f>I5</f>
        <v>45922</v>
      </c>
      <c r="J4" s="89"/>
      <c r="K4" s="89"/>
      <c r="L4" s="89"/>
      <c r="M4" s="89"/>
      <c r="N4" s="89"/>
      <c r="O4" s="90"/>
      <c r="P4" s="88">
        <f>P5</f>
        <v>45929</v>
      </c>
      <c r="Q4" s="89"/>
      <c r="R4" s="89"/>
      <c r="S4" s="89"/>
      <c r="T4" s="89"/>
      <c r="U4" s="89"/>
      <c r="V4" s="90"/>
      <c r="W4" s="88">
        <f>W5</f>
        <v>45936</v>
      </c>
      <c r="X4" s="89"/>
      <c r="Y4" s="89"/>
      <c r="Z4" s="89"/>
      <c r="AA4" s="89"/>
      <c r="AB4" s="89"/>
      <c r="AC4" s="90"/>
      <c r="AD4" s="88">
        <f>AD5</f>
        <v>45943</v>
      </c>
      <c r="AE4" s="89"/>
      <c r="AF4" s="89"/>
      <c r="AG4" s="89"/>
      <c r="AH4" s="89"/>
      <c r="AI4" s="89"/>
      <c r="AJ4" s="90"/>
      <c r="AK4" s="88">
        <f>AK5</f>
        <v>45950</v>
      </c>
      <c r="AL4" s="89"/>
      <c r="AM4" s="89"/>
      <c r="AN4" s="89"/>
      <c r="AO4" s="89"/>
      <c r="AP4" s="89"/>
      <c r="AQ4" s="90"/>
      <c r="AR4" s="88">
        <f>AR5</f>
        <v>45957</v>
      </c>
      <c r="AS4" s="89"/>
      <c r="AT4" s="89"/>
      <c r="AU4" s="89"/>
      <c r="AV4" s="89"/>
      <c r="AW4" s="89"/>
      <c r="AX4" s="90"/>
      <c r="AY4" s="88">
        <f>AY5</f>
        <v>45964</v>
      </c>
      <c r="AZ4" s="89"/>
      <c r="BA4" s="89"/>
      <c r="BB4" s="89"/>
      <c r="BC4" s="89"/>
      <c r="BD4" s="89"/>
      <c r="BE4" s="90"/>
      <c r="BF4" s="88">
        <f>BF5</f>
        <v>45971</v>
      </c>
      <c r="BG4" s="89"/>
      <c r="BH4" s="89"/>
      <c r="BI4" s="89"/>
      <c r="BJ4" s="89"/>
      <c r="BK4" s="89"/>
      <c r="BL4" s="90"/>
      <c r="BM4" s="88">
        <f>BM5</f>
        <v>45978</v>
      </c>
      <c r="BN4" s="89"/>
      <c r="BO4" s="89"/>
      <c r="BP4" s="89"/>
      <c r="BQ4" s="89"/>
      <c r="BR4" s="89"/>
      <c r="BS4" s="90"/>
      <c r="BT4" s="88">
        <f>BT5</f>
        <v>45985</v>
      </c>
      <c r="BU4" s="89"/>
      <c r="BV4" s="89"/>
      <c r="BW4" s="89"/>
      <c r="BX4" s="89"/>
      <c r="BY4" s="89"/>
      <c r="BZ4" s="90"/>
      <c r="CA4" s="88">
        <f>CA5</f>
        <v>45992</v>
      </c>
      <c r="CB4" s="89"/>
      <c r="CC4" s="89"/>
      <c r="CD4" s="89"/>
      <c r="CE4" s="89"/>
      <c r="CF4" s="89"/>
      <c r="CG4" s="90"/>
      <c r="CH4" s="88">
        <f>CH5</f>
        <v>45999</v>
      </c>
      <c r="CI4" s="89"/>
      <c r="CJ4" s="89"/>
      <c r="CK4" s="89"/>
      <c r="CL4" s="89"/>
      <c r="CM4" s="89"/>
      <c r="CN4" s="90"/>
      <c r="CO4" s="88">
        <f t="shared" ref="CO4" si="0">CO5</f>
        <v>46006</v>
      </c>
      <c r="CP4" s="89"/>
      <c r="CQ4" s="89"/>
      <c r="CR4" s="89"/>
      <c r="CS4" s="89"/>
      <c r="CT4" s="89"/>
      <c r="CU4" s="90"/>
      <c r="CV4" s="88">
        <f t="shared" ref="CV4" si="1">CV5</f>
        <v>46013</v>
      </c>
      <c r="CW4" s="89"/>
      <c r="CX4" s="89"/>
      <c r="CY4" s="89"/>
      <c r="CZ4" s="89"/>
      <c r="DA4" s="89"/>
      <c r="DB4" s="90"/>
      <c r="DC4" s="88">
        <f t="shared" ref="DC4" si="2">DC5</f>
        <v>46020</v>
      </c>
      <c r="DD4" s="89"/>
      <c r="DE4" s="89"/>
      <c r="DF4" s="89"/>
      <c r="DG4" s="89"/>
      <c r="DH4" s="89"/>
      <c r="DI4" s="90"/>
      <c r="DJ4" s="88">
        <f t="shared" ref="DJ4" si="3">DJ5</f>
        <v>46027</v>
      </c>
      <c r="DK4" s="89"/>
      <c r="DL4" s="89"/>
      <c r="DM4" s="89"/>
      <c r="DN4" s="89"/>
      <c r="DO4" s="89"/>
      <c r="DP4" s="90"/>
      <c r="DQ4" s="88">
        <f t="shared" ref="DQ4" si="4">DQ5</f>
        <v>46034</v>
      </c>
      <c r="DR4" s="89"/>
      <c r="DS4" s="89"/>
      <c r="DT4" s="89"/>
      <c r="DU4" s="89"/>
      <c r="DV4" s="89"/>
      <c r="DW4" s="90"/>
      <c r="DX4" s="88">
        <f t="shared" ref="DX4" si="5">DX5</f>
        <v>46041</v>
      </c>
      <c r="DY4" s="89"/>
      <c r="DZ4" s="89"/>
      <c r="EA4" s="89"/>
      <c r="EB4" s="89"/>
      <c r="EC4" s="89"/>
      <c r="ED4" s="90"/>
      <c r="EE4" s="88">
        <f t="shared" ref="EE4" si="6">EE5</f>
        <v>46048</v>
      </c>
      <c r="EF4" s="89"/>
      <c r="EG4" s="89"/>
      <c r="EH4" s="89"/>
      <c r="EI4" s="89"/>
      <c r="EJ4" s="89"/>
      <c r="EK4" s="90"/>
      <c r="EL4" s="88">
        <f t="shared" ref="EL4" si="7">EL5</f>
        <v>46055</v>
      </c>
      <c r="EM4" s="89"/>
      <c r="EN4" s="89"/>
      <c r="EO4" s="89"/>
      <c r="EP4" s="89"/>
      <c r="EQ4" s="89"/>
      <c r="ER4" s="90"/>
      <c r="ES4" s="88">
        <f t="shared" ref="ES4" si="8">ES5</f>
        <v>46062</v>
      </c>
      <c r="ET4" s="89"/>
      <c r="EU4" s="89"/>
      <c r="EV4" s="89"/>
      <c r="EW4" s="89"/>
      <c r="EX4" s="89"/>
      <c r="EY4" s="90"/>
      <c r="EZ4" s="88">
        <f t="shared" ref="EZ4" si="9">EZ5</f>
        <v>46069</v>
      </c>
      <c r="FA4" s="89"/>
      <c r="FB4" s="89"/>
      <c r="FC4" s="89"/>
      <c r="FD4" s="89"/>
      <c r="FE4" s="89"/>
      <c r="FF4" s="90"/>
      <c r="FG4" s="88">
        <f t="shared" ref="FG4" si="10">FG5</f>
        <v>46076</v>
      </c>
      <c r="FH4" s="89"/>
      <c r="FI4" s="89"/>
      <c r="FJ4" s="89"/>
      <c r="FK4" s="89"/>
      <c r="FL4" s="89"/>
      <c r="FM4" s="90"/>
      <c r="FN4" s="88">
        <f t="shared" ref="FN4:GW4" si="11">FN5</f>
        <v>46083</v>
      </c>
      <c r="FO4" s="89"/>
      <c r="FP4" s="89"/>
      <c r="FQ4" s="89"/>
      <c r="FR4" s="89"/>
      <c r="FS4" s="89"/>
      <c r="FT4" s="90"/>
      <c r="FU4" s="88">
        <f t="shared" si="11"/>
        <v>46090</v>
      </c>
      <c r="FV4" s="89"/>
      <c r="FW4" s="89"/>
      <c r="FX4" s="89"/>
      <c r="FY4" s="89"/>
      <c r="FZ4" s="89"/>
      <c r="GA4" s="90"/>
      <c r="GB4" s="88">
        <f t="shared" si="11"/>
        <v>46097</v>
      </c>
      <c r="GC4" s="89"/>
      <c r="GD4" s="89"/>
      <c r="GE4" s="89"/>
      <c r="GF4" s="89"/>
      <c r="GG4" s="89"/>
      <c r="GH4" s="90"/>
      <c r="GI4" s="88">
        <f t="shared" si="11"/>
        <v>46104</v>
      </c>
      <c r="GJ4" s="89"/>
      <c r="GK4" s="89"/>
      <c r="GL4" s="89"/>
      <c r="GM4" s="89"/>
      <c r="GN4" s="89"/>
      <c r="GO4" s="90"/>
      <c r="GP4" s="88">
        <f t="shared" si="11"/>
        <v>46111</v>
      </c>
      <c r="GQ4" s="89"/>
      <c r="GR4" s="89"/>
      <c r="GS4" s="89"/>
      <c r="GT4" s="89"/>
      <c r="GU4" s="89"/>
      <c r="GV4" s="90"/>
      <c r="GW4" s="88">
        <f t="shared" si="11"/>
        <v>46118</v>
      </c>
      <c r="GX4" s="89"/>
      <c r="GY4" s="89"/>
      <c r="GZ4" s="89"/>
      <c r="HA4" s="89"/>
      <c r="HB4" s="89"/>
      <c r="HC4" s="90"/>
    </row>
    <row r="5" spans="1:211" ht="15" customHeight="1" x14ac:dyDescent="0.25">
      <c r="A5" s="46" t="s">
        <v>4</v>
      </c>
      <c r="B5" s="65"/>
      <c r="C5" s="65"/>
      <c r="D5" s="65"/>
      <c r="E5" s="65"/>
      <c r="F5" s="65"/>
      <c r="G5" s="65"/>
      <c r="I5" s="83">
        <f>Project_Start-WEEKDAY(Project_Start,1)+2+7*(Display_Week-1)</f>
        <v>45922</v>
      </c>
      <c r="J5" s="84">
        <f>I5+1</f>
        <v>45923</v>
      </c>
      <c r="K5" s="84">
        <f t="shared" ref="K5:AX5" si="12">J5+1</f>
        <v>45924</v>
      </c>
      <c r="L5" s="84">
        <f t="shared" si="12"/>
        <v>45925</v>
      </c>
      <c r="M5" s="84">
        <f t="shared" si="12"/>
        <v>45926</v>
      </c>
      <c r="N5" s="84">
        <f t="shared" si="12"/>
        <v>45927</v>
      </c>
      <c r="O5" s="85">
        <f t="shared" si="12"/>
        <v>45928</v>
      </c>
      <c r="P5" s="83">
        <f>O5+1</f>
        <v>45929</v>
      </c>
      <c r="Q5" s="84">
        <f>P5+1</f>
        <v>45930</v>
      </c>
      <c r="R5" s="84">
        <f t="shared" si="12"/>
        <v>45931</v>
      </c>
      <c r="S5" s="84">
        <f t="shared" si="12"/>
        <v>45932</v>
      </c>
      <c r="T5" s="84">
        <f t="shared" si="12"/>
        <v>45933</v>
      </c>
      <c r="U5" s="84">
        <f t="shared" si="12"/>
        <v>45934</v>
      </c>
      <c r="V5" s="85">
        <f t="shared" si="12"/>
        <v>45935</v>
      </c>
      <c r="W5" s="83">
        <f>V5+1</f>
        <v>45936</v>
      </c>
      <c r="X5" s="84">
        <f>W5+1</f>
        <v>45937</v>
      </c>
      <c r="Y5" s="84">
        <f t="shared" si="12"/>
        <v>45938</v>
      </c>
      <c r="Z5" s="84">
        <f t="shared" si="12"/>
        <v>45939</v>
      </c>
      <c r="AA5" s="84">
        <f t="shared" si="12"/>
        <v>45940</v>
      </c>
      <c r="AB5" s="84">
        <f t="shared" si="12"/>
        <v>45941</v>
      </c>
      <c r="AC5" s="85">
        <f t="shared" si="12"/>
        <v>45942</v>
      </c>
      <c r="AD5" s="83">
        <f>AC5+1</f>
        <v>45943</v>
      </c>
      <c r="AE5" s="84">
        <f>AD5+1</f>
        <v>45944</v>
      </c>
      <c r="AF5" s="84">
        <f t="shared" si="12"/>
        <v>45945</v>
      </c>
      <c r="AG5" s="84">
        <f t="shared" si="12"/>
        <v>45946</v>
      </c>
      <c r="AH5" s="84">
        <f t="shared" si="12"/>
        <v>45947</v>
      </c>
      <c r="AI5" s="84">
        <f t="shared" si="12"/>
        <v>45948</v>
      </c>
      <c r="AJ5" s="85">
        <f t="shared" si="12"/>
        <v>45949</v>
      </c>
      <c r="AK5" s="83">
        <f>AJ5+1</f>
        <v>45950</v>
      </c>
      <c r="AL5" s="84">
        <f>AK5+1</f>
        <v>45951</v>
      </c>
      <c r="AM5" s="84">
        <f t="shared" si="12"/>
        <v>45952</v>
      </c>
      <c r="AN5" s="84">
        <f t="shared" si="12"/>
        <v>45953</v>
      </c>
      <c r="AO5" s="84">
        <f t="shared" si="12"/>
        <v>45954</v>
      </c>
      <c r="AP5" s="84">
        <f t="shared" si="12"/>
        <v>45955</v>
      </c>
      <c r="AQ5" s="85">
        <f t="shared" si="12"/>
        <v>45956</v>
      </c>
      <c r="AR5" s="83">
        <f>AQ5+1</f>
        <v>45957</v>
      </c>
      <c r="AS5" s="84">
        <f>AR5+1</f>
        <v>45958</v>
      </c>
      <c r="AT5" s="84">
        <f t="shared" si="12"/>
        <v>45959</v>
      </c>
      <c r="AU5" s="84">
        <f t="shared" si="12"/>
        <v>45960</v>
      </c>
      <c r="AV5" s="84">
        <f t="shared" si="12"/>
        <v>45961</v>
      </c>
      <c r="AW5" s="84">
        <f t="shared" si="12"/>
        <v>45962</v>
      </c>
      <c r="AX5" s="85">
        <f t="shared" si="12"/>
        <v>45963</v>
      </c>
      <c r="AY5" s="83">
        <f>AX5+1</f>
        <v>45964</v>
      </c>
      <c r="AZ5" s="84">
        <f>AY5+1</f>
        <v>45965</v>
      </c>
      <c r="BA5" s="84">
        <f t="shared" ref="BA5:BE5" si="13">AZ5+1</f>
        <v>45966</v>
      </c>
      <c r="BB5" s="84">
        <f t="shared" si="13"/>
        <v>45967</v>
      </c>
      <c r="BC5" s="84">
        <f t="shared" si="13"/>
        <v>45968</v>
      </c>
      <c r="BD5" s="84">
        <f t="shared" si="13"/>
        <v>45969</v>
      </c>
      <c r="BE5" s="85">
        <f t="shared" si="13"/>
        <v>45970</v>
      </c>
      <c r="BF5" s="83">
        <f>BE5+1</f>
        <v>45971</v>
      </c>
      <c r="BG5" s="84">
        <f>BF5+1</f>
        <v>45972</v>
      </c>
      <c r="BH5" s="84">
        <f t="shared" ref="BH5:BL5" si="14">BG5+1</f>
        <v>45973</v>
      </c>
      <c r="BI5" s="84">
        <f t="shared" si="14"/>
        <v>45974</v>
      </c>
      <c r="BJ5" s="84">
        <f t="shared" si="14"/>
        <v>45975</v>
      </c>
      <c r="BK5" s="84">
        <f t="shared" si="14"/>
        <v>45976</v>
      </c>
      <c r="BL5" s="85">
        <f t="shared" si="14"/>
        <v>45977</v>
      </c>
      <c r="BM5" s="83">
        <f>BL5+1</f>
        <v>45978</v>
      </c>
      <c r="BN5" s="84">
        <f>BM5+1</f>
        <v>45979</v>
      </c>
      <c r="BO5" s="84">
        <f t="shared" ref="BO5" si="15">BN5+1</f>
        <v>45980</v>
      </c>
      <c r="BP5" s="84">
        <f t="shared" ref="BP5" si="16">BO5+1</f>
        <v>45981</v>
      </c>
      <c r="BQ5" s="84">
        <f t="shared" ref="BQ5" si="17">BP5+1</f>
        <v>45982</v>
      </c>
      <c r="BR5" s="84">
        <f t="shared" ref="BR5" si="18">BQ5+1</f>
        <v>45983</v>
      </c>
      <c r="BS5" s="85">
        <f t="shared" ref="BS5" si="19">BR5+1</f>
        <v>45984</v>
      </c>
      <c r="BT5" s="83">
        <f>BS5+1</f>
        <v>45985</v>
      </c>
      <c r="BU5" s="84">
        <f>BT5+1</f>
        <v>45986</v>
      </c>
      <c r="BV5" s="84">
        <f t="shared" ref="BV5" si="20">BU5+1</f>
        <v>45987</v>
      </c>
      <c r="BW5" s="84">
        <f t="shared" ref="BW5" si="21">BV5+1</f>
        <v>45988</v>
      </c>
      <c r="BX5" s="84">
        <f t="shared" ref="BX5" si="22">BW5+1</f>
        <v>45989</v>
      </c>
      <c r="BY5" s="84">
        <f t="shared" ref="BY5" si="23">BX5+1</f>
        <v>45990</v>
      </c>
      <c r="BZ5" s="85">
        <f t="shared" ref="BZ5" si="24">BY5+1</f>
        <v>45991</v>
      </c>
      <c r="CA5" s="83">
        <f>BZ5+1</f>
        <v>45992</v>
      </c>
      <c r="CB5" s="84">
        <f>CA5+1</f>
        <v>45993</v>
      </c>
      <c r="CC5" s="84">
        <f t="shared" ref="CC5" si="25">CB5+1</f>
        <v>45994</v>
      </c>
      <c r="CD5" s="84">
        <f t="shared" ref="CD5" si="26">CC5+1</f>
        <v>45995</v>
      </c>
      <c r="CE5" s="84">
        <f t="shared" ref="CE5" si="27">CD5+1</f>
        <v>45996</v>
      </c>
      <c r="CF5" s="84">
        <f t="shared" ref="CF5" si="28">CE5+1</f>
        <v>45997</v>
      </c>
      <c r="CG5" s="85">
        <f t="shared" ref="CG5" si="29">CF5+1</f>
        <v>45998</v>
      </c>
      <c r="CH5" s="83">
        <f>CG5+1</f>
        <v>45999</v>
      </c>
      <c r="CI5" s="84">
        <f>CH5+1</f>
        <v>46000</v>
      </c>
      <c r="CJ5" s="84">
        <f t="shared" ref="CJ5" si="30">CI5+1</f>
        <v>46001</v>
      </c>
      <c r="CK5" s="84">
        <f t="shared" ref="CK5" si="31">CJ5+1</f>
        <v>46002</v>
      </c>
      <c r="CL5" s="84">
        <f t="shared" ref="CL5" si="32">CK5+1</f>
        <v>46003</v>
      </c>
      <c r="CM5" s="84">
        <f t="shared" ref="CM5" si="33">CL5+1</f>
        <v>46004</v>
      </c>
      <c r="CN5" s="85">
        <f t="shared" ref="CN5:CP5" si="34">CM5+1</f>
        <v>46005</v>
      </c>
      <c r="CO5" s="83">
        <f t="shared" si="34"/>
        <v>46006</v>
      </c>
      <c r="CP5" s="84">
        <f t="shared" si="34"/>
        <v>46007</v>
      </c>
      <c r="CQ5" s="84">
        <f t="shared" ref="CQ5" si="35">CP5+1</f>
        <v>46008</v>
      </c>
      <c r="CR5" s="84">
        <f t="shared" ref="CR5" si="36">CQ5+1</f>
        <v>46009</v>
      </c>
      <c r="CS5" s="84">
        <f t="shared" ref="CS5" si="37">CR5+1</f>
        <v>46010</v>
      </c>
      <c r="CT5" s="84">
        <f t="shared" ref="CT5" si="38">CS5+1</f>
        <v>46011</v>
      </c>
      <c r="CU5" s="85">
        <f t="shared" ref="CU5:CW5" si="39">CT5+1</f>
        <v>46012</v>
      </c>
      <c r="CV5" s="83">
        <f t="shared" si="39"/>
        <v>46013</v>
      </c>
      <c r="CW5" s="84">
        <f t="shared" si="39"/>
        <v>46014</v>
      </c>
      <c r="CX5" s="84">
        <f t="shared" ref="CX5" si="40">CW5+1</f>
        <v>46015</v>
      </c>
      <c r="CY5" s="84">
        <f t="shared" ref="CY5" si="41">CX5+1</f>
        <v>46016</v>
      </c>
      <c r="CZ5" s="84">
        <f t="shared" ref="CZ5" si="42">CY5+1</f>
        <v>46017</v>
      </c>
      <c r="DA5" s="84">
        <f t="shared" ref="DA5" si="43">CZ5+1</f>
        <v>46018</v>
      </c>
      <c r="DB5" s="85">
        <f t="shared" ref="DB5:DD5" si="44">DA5+1</f>
        <v>46019</v>
      </c>
      <c r="DC5" s="83">
        <f t="shared" si="44"/>
        <v>46020</v>
      </c>
      <c r="DD5" s="84">
        <f t="shared" si="44"/>
        <v>46021</v>
      </c>
      <c r="DE5" s="84">
        <f t="shared" ref="DE5" si="45">DD5+1</f>
        <v>46022</v>
      </c>
      <c r="DF5" s="84">
        <f t="shared" ref="DF5" si="46">DE5+1</f>
        <v>46023</v>
      </c>
      <c r="DG5" s="84">
        <f t="shared" ref="DG5" si="47">DF5+1</f>
        <v>46024</v>
      </c>
      <c r="DH5" s="84">
        <f t="shared" ref="DH5" si="48">DG5+1</f>
        <v>46025</v>
      </c>
      <c r="DI5" s="85">
        <f t="shared" ref="DI5" si="49">DH5+1</f>
        <v>46026</v>
      </c>
      <c r="DJ5" s="83">
        <f t="shared" ref="DJ5" si="50">DI5+1</f>
        <v>46027</v>
      </c>
      <c r="DK5" s="84">
        <f t="shared" ref="DK5" si="51">DJ5+1</f>
        <v>46028</v>
      </c>
      <c r="DL5" s="84">
        <f t="shared" ref="DL5" si="52">DK5+1</f>
        <v>46029</v>
      </c>
      <c r="DM5" s="84">
        <f t="shared" ref="DM5" si="53">DL5+1</f>
        <v>46030</v>
      </c>
      <c r="DN5" s="84">
        <f t="shared" ref="DN5" si="54">DM5+1</f>
        <v>46031</v>
      </c>
      <c r="DO5" s="84">
        <f t="shared" ref="DO5" si="55">DN5+1</f>
        <v>46032</v>
      </c>
      <c r="DP5" s="85">
        <f t="shared" ref="DP5" si="56">DO5+1</f>
        <v>46033</v>
      </c>
      <c r="DQ5" s="83">
        <f t="shared" ref="DQ5" si="57">DP5+1</f>
        <v>46034</v>
      </c>
      <c r="DR5" s="84">
        <f t="shared" ref="DR5" si="58">DQ5+1</f>
        <v>46035</v>
      </c>
      <c r="DS5" s="84">
        <f t="shared" ref="DS5" si="59">DR5+1</f>
        <v>46036</v>
      </c>
      <c r="DT5" s="84">
        <f t="shared" ref="DT5" si="60">DS5+1</f>
        <v>46037</v>
      </c>
      <c r="DU5" s="84">
        <f t="shared" ref="DU5" si="61">DT5+1</f>
        <v>46038</v>
      </c>
      <c r="DV5" s="84">
        <f t="shared" ref="DV5" si="62">DU5+1</f>
        <v>46039</v>
      </c>
      <c r="DW5" s="85">
        <f t="shared" ref="DW5" si="63">DV5+1</f>
        <v>46040</v>
      </c>
      <c r="DX5" s="83">
        <f t="shared" ref="DX5" si="64">DW5+1</f>
        <v>46041</v>
      </c>
      <c r="DY5" s="84">
        <f t="shared" ref="DY5" si="65">DX5+1</f>
        <v>46042</v>
      </c>
      <c r="DZ5" s="84">
        <f t="shared" ref="DZ5" si="66">DY5+1</f>
        <v>46043</v>
      </c>
      <c r="EA5" s="84">
        <f t="shared" ref="EA5" si="67">DZ5+1</f>
        <v>46044</v>
      </c>
      <c r="EB5" s="84">
        <f t="shared" ref="EB5" si="68">EA5+1</f>
        <v>46045</v>
      </c>
      <c r="EC5" s="84">
        <f t="shared" ref="EC5" si="69">EB5+1</f>
        <v>46046</v>
      </c>
      <c r="ED5" s="85">
        <f t="shared" ref="ED5" si="70">EC5+1</f>
        <v>46047</v>
      </c>
      <c r="EE5" s="83">
        <f t="shared" ref="EE5" si="71">ED5+1</f>
        <v>46048</v>
      </c>
      <c r="EF5" s="84">
        <f t="shared" ref="EF5" si="72">EE5+1</f>
        <v>46049</v>
      </c>
      <c r="EG5" s="84">
        <f t="shared" ref="EG5" si="73">EF5+1</f>
        <v>46050</v>
      </c>
      <c r="EH5" s="84">
        <f t="shared" ref="EH5" si="74">EG5+1</f>
        <v>46051</v>
      </c>
      <c r="EI5" s="84">
        <f t="shared" ref="EI5" si="75">EH5+1</f>
        <v>46052</v>
      </c>
      <c r="EJ5" s="84">
        <f t="shared" ref="EJ5" si="76">EI5+1</f>
        <v>46053</v>
      </c>
      <c r="EK5" s="85">
        <f t="shared" ref="EK5" si="77">EJ5+1</f>
        <v>46054</v>
      </c>
      <c r="EL5" s="83">
        <f t="shared" ref="EL5" si="78">EK5+1</f>
        <v>46055</v>
      </c>
      <c r="EM5" s="84">
        <f t="shared" ref="EM5" si="79">EL5+1</f>
        <v>46056</v>
      </c>
      <c r="EN5" s="84">
        <f t="shared" ref="EN5" si="80">EM5+1</f>
        <v>46057</v>
      </c>
      <c r="EO5" s="84">
        <f t="shared" ref="EO5" si="81">EN5+1</f>
        <v>46058</v>
      </c>
      <c r="EP5" s="84">
        <f t="shared" ref="EP5" si="82">EO5+1</f>
        <v>46059</v>
      </c>
      <c r="EQ5" s="84">
        <f t="shared" ref="EQ5" si="83">EP5+1</f>
        <v>46060</v>
      </c>
      <c r="ER5" s="85">
        <f t="shared" ref="ER5" si="84">EQ5+1</f>
        <v>46061</v>
      </c>
      <c r="ES5" s="83">
        <f t="shared" ref="ES5" si="85">ER5+1</f>
        <v>46062</v>
      </c>
      <c r="ET5" s="84">
        <f t="shared" ref="ET5" si="86">ES5+1</f>
        <v>46063</v>
      </c>
      <c r="EU5" s="84">
        <f t="shared" ref="EU5" si="87">ET5+1</f>
        <v>46064</v>
      </c>
      <c r="EV5" s="84">
        <f t="shared" ref="EV5" si="88">EU5+1</f>
        <v>46065</v>
      </c>
      <c r="EW5" s="84">
        <f t="shared" ref="EW5" si="89">EV5+1</f>
        <v>46066</v>
      </c>
      <c r="EX5" s="84">
        <f t="shared" ref="EX5" si="90">EW5+1</f>
        <v>46067</v>
      </c>
      <c r="EY5" s="85">
        <f t="shared" ref="EY5" si="91">EX5+1</f>
        <v>46068</v>
      </c>
      <c r="EZ5" s="83">
        <f t="shared" ref="EZ5" si="92">EY5+1</f>
        <v>46069</v>
      </c>
      <c r="FA5" s="84">
        <f t="shared" ref="FA5" si="93">EZ5+1</f>
        <v>46070</v>
      </c>
      <c r="FB5" s="84">
        <f t="shared" ref="FB5" si="94">FA5+1</f>
        <v>46071</v>
      </c>
      <c r="FC5" s="84">
        <f t="shared" ref="FC5" si="95">FB5+1</f>
        <v>46072</v>
      </c>
      <c r="FD5" s="84">
        <f t="shared" ref="FD5" si="96">FC5+1</f>
        <v>46073</v>
      </c>
      <c r="FE5" s="84">
        <f t="shared" ref="FE5" si="97">FD5+1</f>
        <v>46074</v>
      </c>
      <c r="FF5" s="85">
        <f t="shared" ref="FF5" si="98">FE5+1</f>
        <v>46075</v>
      </c>
      <c r="FG5" s="83">
        <f t="shared" ref="FG5" si="99">FF5+1</f>
        <v>46076</v>
      </c>
      <c r="FH5" s="84">
        <f t="shared" ref="FH5" si="100">FG5+1</f>
        <v>46077</v>
      </c>
      <c r="FI5" s="84">
        <f t="shared" ref="FI5" si="101">FH5+1</f>
        <v>46078</v>
      </c>
      <c r="FJ5" s="84">
        <f t="shared" ref="FJ5" si="102">FI5+1</f>
        <v>46079</v>
      </c>
      <c r="FK5" s="84">
        <f t="shared" ref="FK5" si="103">FJ5+1</f>
        <v>46080</v>
      </c>
      <c r="FL5" s="84">
        <f t="shared" ref="FL5" si="104">FK5+1</f>
        <v>46081</v>
      </c>
      <c r="FM5" s="85">
        <f t="shared" ref="FM5" si="105">FL5+1</f>
        <v>46082</v>
      </c>
      <c r="FN5" s="83">
        <f t="shared" ref="FN5" si="106">FM5+1</f>
        <v>46083</v>
      </c>
      <c r="FO5" s="84">
        <f t="shared" ref="FO5" si="107">FN5+1</f>
        <v>46084</v>
      </c>
      <c r="FP5" s="84">
        <f t="shared" ref="FP5" si="108">FO5+1</f>
        <v>46085</v>
      </c>
      <c r="FQ5" s="84">
        <f t="shared" ref="FQ5" si="109">FP5+1</f>
        <v>46086</v>
      </c>
      <c r="FR5" s="84">
        <f t="shared" ref="FR5" si="110">FQ5+1</f>
        <v>46087</v>
      </c>
      <c r="FS5" s="84">
        <f t="shared" ref="FS5" si="111">FR5+1</f>
        <v>46088</v>
      </c>
      <c r="FT5" s="85">
        <f t="shared" ref="FT5" si="112">FS5+1</f>
        <v>46089</v>
      </c>
      <c r="FU5" s="83">
        <f t="shared" ref="FU5" si="113">FT5+1</f>
        <v>46090</v>
      </c>
      <c r="FV5" s="84">
        <f t="shared" ref="FV5" si="114">FU5+1</f>
        <v>46091</v>
      </c>
      <c r="FW5" s="84">
        <f t="shared" ref="FW5" si="115">FV5+1</f>
        <v>46092</v>
      </c>
      <c r="FX5" s="84">
        <f t="shared" ref="FX5" si="116">FW5+1</f>
        <v>46093</v>
      </c>
      <c r="FY5" s="84">
        <f t="shared" ref="FY5" si="117">FX5+1</f>
        <v>46094</v>
      </c>
      <c r="FZ5" s="84">
        <f t="shared" ref="FZ5" si="118">FY5+1</f>
        <v>46095</v>
      </c>
      <c r="GA5" s="85">
        <f t="shared" ref="GA5" si="119">FZ5+1</f>
        <v>46096</v>
      </c>
      <c r="GB5" s="83">
        <f t="shared" ref="GB5" si="120">GA5+1</f>
        <v>46097</v>
      </c>
      <c r="GC5" s="84">
        <f t="shared" ref="GC5" si="121">GB5+1</f>
        <v>46098</v>
      </c>
      <c r="GD5" s="84">
        <f t="shared" ref="GD5" si="122">GC5+1</f>
        <v>46099</v>
      </c>
      <c r="GE5" s="84">
        <f t="shared" ref="GE5" si="123">GD5+1</f>
        <v>46100</v>
      </c>
      <c r="GF5" s="84">
        <f t="shared" ref="GF5" si="124">GE5+1</f>
        <v>46101</v>
      </c>
      <c r="GG5" s="84">
        <f t="shared" ref="GG5" si="125">GF5+1</f>
        <v>46102</v>
      </c>
      <c r="GH5" s="85">
        <f t="shared" ref="GH5" si="126">GG5+1</f>
        <v>46103</v>
      </c>
      <c r="GI5" s="83">
        <f t="shared" ref="GI5" si="127">GH5+1</f>
        <v>46104</v>
      </c>
      <c r="GJ5" s="84">
        <f t="shared" ref="GJ5" si="128">GI5+1</f>
        <v>46105</v>
      </c>
      <c r="GK5" s="84">
        <f t="shared" ref="GK5" si="129">GJ5+1</f>
        <v>46106</v>
      </c>
      <c r="GL5" s="84">
        <f t="shared" ref="GL5" si="130">GK5+1</f>
        <v>46107</v>
      </c>
      <c r="GM5" s="84">
        <f t="shared" ref="GM5" si="131">GL5+1</f>
        <v>46108</v>
      </c>
      <c r="GN5" s="84">
        <f t="shared" ref="GN5" si="132">GM5+1</f>
        <v>46109</v>
      </c>
      <c r="GO5" s="85">
        <f t="shared" ref="GO5" si="133">GN5+1</f>
        <v>46110</v>
      </c>
      <c r="GP5" s="83">
        <f t="shared" ref="GP5" si="134">GO5+1</f>
        <v>46111</v>
      </c>
      <c r="GQ5" s="84">
        <f t="shared" ref="GQ5" si="135">GP5+1</f>
        <v>46112</v>
      </c>
      <c r="GR5" s="84">
        <f t="shared" ref="GR5" si="136">GQ5+1</f>
        <v>46113</v>
      </c>
      <c r="GS5" s="84">
        <f t="shared" ref="GS5" si="137">GR5+1</f>
        <v>46114</v>
      </c>
      <c r="GT5" s="84">
        <f t="shared" ref="GT5" si="138">GS5+1</f>
        <v>46115</v>
      </c>
      <c r="GU5" s="84">
        <f t="shared" ref="GU5" si="139">GT5+1</f>
        <v>46116</v>
      </c>
      <c r="GV5" s="85">
        <f t="shared" ref="GV5" si="140">GU5+1</f>
        <v>46117</v>
      </c>
      <c r="GW5" s="83">
        <f t="shared" ref="GW5" si="141">GV5+1</f>
        <v>46118</v>
      </c>
      <c r="GX5" s="84">
        <f t="shared" ref="GX5" si="142">GW5+1</f>
        <v>46119</v>
      </c>
      <c r="GY5" s="84">
        <f t="shared" ref="GY5" si="143">GX5+1</f>
        <v>46120</v>
      </c>
      <c r="GZ5" s="84">
        <f t="shared" ref="GZ5" si="144">GY5+1</f>
        <v>46121</v>
      </c>
      <c r="HA5" s="84">
        <f t="shared" ref="HA5" si="145">GZ5+1</f>
        <v>46122</v>
      </c>
      <c r="HB5" s="84">
        <f t="shared" ref="HB5" si="146">HA5+1</f>
        <v>46123</v>
      </c>
      <c r="HC5" s="85">
        <f t="shared" ref="HC5" si="147">HB5+1</f>
        <v>46124</v>
      </c>
    </row>
    <row r="6" spans="1:211" ht="30" customHeight="1" thickBot="1" x14ac:dyDescent="0.3">
      <c r="A6" s="46" t="s">
        <v>5</v>
      </c>
      <c r="B6" s="8" t="s">
        <v>14</v>
      </c>
      <c r="C6" s="9"/>
      <c r="D6" s="9" t="s">
        <v>18</v>
      </c>
      <c r="E6" s="9" t="s">
        <v>19</v>
      </c>
      <c r="F6" s="9" t="s">
        <v>20</v>
      </c>
      <c r="G6" s="9"/>
      <c r="H6" s="9" t="s">
        <v>21</v>
      </c>
      <c r="I6" s="10" t="str">
        <f t="shared" ref="I6" si="148">LEFT(TEXT(I5,"ddd"),1)</f>
        <v>M</v>
      </c>
      <c r="J6" s="10" t="str">
        <f t="shared" ref="J6:AR6" si="149">LEFT(TEXT(J5,"ddd"),1)</f>
        <v>T</v>
      </c>
      <c r="K6" s="10" t="str">
        <f t="shared" si="149"/>
        <v>W</v>
      </c>
      <c r="L6" s="10" t="str">
        <f t="shared" si="149"/>
        <v>T</v>
      </c>
      <c r="M6" s="10" t="str">
        <f t="shared" si="149"/>
        <v>F</v>
      </c>
      <c r="N6" s="10" t="str">
        <f t="shared" si="149"/>
        <v>S</v>
      </c>
      <c r="O6" s="10" t="str">
        <f t="shared" si="149"/>
        <v>S</v>
      </c>
      <c r="P6" s="10" t="str">
        <f t="shared" si="149"/>
        <v>M</v>
      </c>
      <c r="Q6" s="10" t="str">
        <f t="shared" si="149"/>
        <v>T</v>
      </c>
      <c r="R6" s="10" t="str">
        <f t="shared" si="149"/>
        <v>W</v>
      </c>
      <c r="S6" s="10" t="str">
        <f t="shared" si="149"/>
        <v>T</v>
      </c>
      <c r="T6" s="10" t="str">
        <f t="shared" si="149"/>
        <v>F</v>
      </c>
      <c r="U6" s="10" t="str">
        <f t="shared" si="149"/>
        <v>S</v>
      </c>
      <c r="V6" s="10" t="str">
        <f t="shared" si="149"/>
        <v>S</v>
      </c>
      <c r="W6" s="10" t="str">
        <f t="shared" si="149"/>
        <v>M</v>
      </c>
      <c r="X6" s="10" t="str">
        <f t="shared" si="149"/>
        <v>T</v>
      </c>
      <c r="Y6" s="10" t="str">
        <f t="shared" si="149"/>
        <v>W</v>
      </c>
      <c r="Z6" s="10" t="str">
        <f t="shared" si="149"/>
        <v>T</v>
      </c>
      <c r="AA6" s="10" t="str">
        <f t="shared" si="149"/>
        <v>F</v>
      </c>
      <c r="AB6" s="10" t="str">
        <f t="shared" si="149"/>
        <v>S</v>
      </c>
      <c r="AC6" s="10" t="str">
        <f t="shared" si="149"/>
        <v>S</v>
      </c>
      <c r="AD6" s="10" t="str">
        <f t="shared" si="149"/>
        <v>M</v>
      </c>
      <c r="AE6" s="10" t="str">
        <f t="shared" si="149"/>
        <v>T</v>
      </c>
      <c r="AF6" s="10" t="str">
        <f t="shared" si="149"/>
        <v>W</v>
      </c>
      <c r="AG6" s="10" t="str">
        <f t="shared" si="149"/>
        <v>T</v>
      </c>
      <c r="AH6" s="10" t="str">
        <f t="shared" si="149"/>
        <v>F</v>
      </c>
      <c r="AI6" s="10" t="str">
        <f t="shared" si="149"/>
        <v>S</v>
      </c>
      <c r="AJ6" s="10" t="str">
        <f t="shared" si="149"/>
        <v>S</v>
      </c>
      <c r="AK6" s="10" t="str">
        <f t="shared" si="149"/>
        <v>M</v>
      </c>
      <c r="AL6" s="10" t="str">
        <f t="shared" si="149"/>
        <v>T</v>
      </c>
      <c r="AM6" s="10" t="str">
        <f t="shared" si="149"/>
        <v>W</v>
      </c>
      <c r="AN6" s="10" t="str">
        <f t="shared" si="149"/>
        <v>T</v>
      </c>
      <c r="AO6" s="10" t="str">
        <f t="shared" si="149"/>
        <v>F</v>
      </c>
      <c r="AP6" s="10" t="str">
        <f t="shared" si="149"/>
        <v>S</v>
      </c>
      <c r="AQ6" s="10" t="str">
        <f t="shared" si="149"/>
        <v>S</v>
      </c>
      <c r="AR6" s="10" t="str">
        <f t="shared" si="149"/>
        <v>M</v>
      </c>
      <c r="AS6" s="10" t="str">
        <f t="shared" ref="AS6:BL6" si="150">LEFT(TEXT(AS5,"ddd"),1)</f>
        <v>T</v>
      </c>
      <c r="AT6" s="10" t="str">
        <f t="shared" si="150"/>
        <v>W</v>
      </c>
      <c r="AU6" s="10" t="str">
        <f t="shared" si="150"/>
        <v>T</v>
      </c>
      <c r="AV6" s="10" t="str">
        <f t="shared" si="150"/>
        <v>F</v>
      </c>
      <c r="AW6" s="10" t="str">
        <f t="shared" si="150"/>
        <v>S</v>
      </c>
      <c r="AX6" s="10" t="str">
        <f t="shared" si="150"/>
        <v>S</v>
      </c>
      <c r="AY6" s="10" t="str">
        <f t="shared" si="150"/>
        <v>M</v>
      </c>
      <c r="AZ6" s="10" t="str">
        <f t="shared" si="150"/>
        <v>T</v>
      </c>
      <c r="BA6" s="10" t="str">
        <f t="shared" si="150"/>
        <v>W</v>
      </c>
      <c r="BB6" s="10" t="str">
        <f t="shared" si="150"/>
        <v>T</v>
      </c>
      <c r="BC6" s="10" t="str">
        <f t="shared" si="150"/>
        <v>F</v>
      </c>
      <c r="BD6" s="10" t="str">
        <f t="shared" si="150"/>
        <v>S</v>
      </c>
      <c r="BE6" s="10" t="str">
        <f t="shared" si="150"/>
        <v>S</v>
      </c>
      <c r="BF6" s="10" t="str">
        <f t="shared" si="150"/>
        <v>M</v>
      </c>
      <c r="BG6" s="10" t="str">
        <f t="shared" si="150"/>
        <v>T</v>
      </c>
      <c r="BH6" s="10" t="str">
        <f t="shared" si="150"/>
        <v>W</v>
      </c>
      <c r="BI6" s="10" t="str">
        <f t="shared" si="150"/>
        <v>T</v>
      </c>
      <c r="BJ6" s="10" t="str">
        <f t="shared" si="150"/>
        <v>F</v>
      </c>
      <c r="BK6" s="10" t="str">
        <f t="shared" si="150"/>
        <v>S</v>
      </c>
      <c r="BL6" s="10" t="str">
        <f t="shared" si="150"/>
        <v>S</v>
      </c>
      <c r="BM6" s="10" t="str">
        <f t="shared" ref="BM6:BZ6" si="151">LEFT(TEXT(BM5,"ddd"),1)</f>
        <v>M</v>
      </c>
      <c r="BN6" s="10" t="str">
        <f t="shared" si="151"/>
        <v>T</v>
      </c>
      <c r="BO6" s="10" t="str">
        <f t="shared" si="151"/>
        <v>W</v>
      </c>
      <c r="BP6" s="10" t="str">
        <f t="shared" si="151"/>
        <v>T</v>
      </c>
      <c r="BQ6" s="10" t="str">
        <f t="shared" si="151"/>
        <v>F</v>
      </c>
      <c r="BR6" s="10" t="str">
        <f t="shared" si="151"/>
        <v>S</v>
      </c>
      <c r="BS6" s="10" t="str">
        <f t="shared" si="151"/>
        <v>S</v>
      </c>
      <c r="BT6" s="10" t="str">
        <f t="shared" si="151"/>
        <v>M</v>
      </c>
      <c r="BU6" s="10" t="str">
        <f t="shared" si="151"/>
        <v>T</v>
      </c>
      <c r="BV6" s="10" t="str">
        <f t="shared" si="151"/>
        <v>W</v>
      </c>
      <c r="BW6" s="10" t="str">
        <f t="shared" si="151"/>
        <v>T</v>
      </c>
      <c r="BX6" s="10" t="str">
        <f t="shared" si="151"/>
        <v>F</v>
      </c>
      <c r="BY6" s="10" t="str">
        <f t="shared" si="151"/>
        <v>S</v>
      </c>
      <c r="BZ6" s="10" t="str">
        <f t="shared" si="151"/>
        <v>S</v>
      </c>
      <c r="CA6" s="10" t="str">
        <f t="shared" ref="CA6:CG6" si="152">LEFT(TEXT(CA5,"ddd"),1)</f>
        <v>M</v>
      </c>
      <c r="CB6" s="10" t="str">
        <f t="shared" si="152"/>
        <v>T</v>
      </c>
      <c r="CC6" s="10" t="str">
        <f t="shared" si="152"/>
        <v>W</v>
      </c>
      <c r="CD6" s="10" t="str">
        <f t="shared" si="152"/>
        <v>T</v>
      </c>
      <c r="CE6" s="10" t="str">
        <f t="shared" si="152"/>
        <v>F</v>
      </c>
      <c r="CF6" s="10" t="str">
        <f t="shared" si="152"/>
        <v>S</v>
      </c>
      <c r="CG6" s="10" t="str">
        <f t="shared" si="152"/>
        <v>S</v>
      </c>
      <c r="CH6" s="10" t="str">
        <f t="shared" ref="CH6:CN6" si="153">LEFT(TEXT(CH5,"ddd"),1)</f>
        <v>M</v>
      </c>
      <c r="CI6" s="10" t="str">
        <f t="shared" si="153"/>
        <v>T</v>
      </c>
      <c r="CJ6" s="10" t="str">
        <f t="shared" si="153"/>
        <v>W</v>
      </c>
      <c r="CK6" s="10" t="str">
        <f t="shared" si="153"/>
        <v>T</v>
      </c>
      <c r="CL6" s="10" t="str">
        <f t="shared" si="153"/>
        <v>F</v>
      </c>
      <c r="CM6" s="10" t="str">
        <f t="shared" si="153"/>
        <v>S</v>
      </c>
      <c r="CN6" s="10" t="str">
        <f t="shared" si="153"/>
        <v>S</v>
      </c>
      <c r="CO6" s="10" t="str">
        <f t="shared" ref="CO6:DI6" si="154">LEFT(TEXT(CO5,"ddd"),1)</f>
        <v>M</v>
      </c>
      <c r="CP6" s="10" t="str">
        <f t="shared" si="154"/>
        <v>T</v>
      </c>
      <c r="CQ6" s="10" t="str">
        <f t="shared" si="154"/>
        <v>W</v>
      </c>
      <c r="CR6" s="10" t="str">
        <f t="shared" si="154"/>
        <v>T</v>
      </c>
      <c r="CS6" s="10" t="str">
        <f t="shared" si="154"/>
        <v>F</v>
      </c>
      <c r="CT6" s="10" t="str">
        <f t="shared" si="154"/>
        <v>S</v>
      </c>
      <c r="CU6" s="10" t="str">
        <f t="shared" si="154"/>
        <v>S</v>
      </c>
      <c r="CV6" s="10" t="str">
        <f t="shared" si="154"/>
        <v>M</v>
      </c>
      <c r="CW6" s="10" t="str">
        <f t="shared" si="154"/>
        <v>T</v>
      </c>
      <c r="CX6" s="10" t="str">
        <f t="shared" si="154"/>
        <v>W</v>
      </c>
      <c r="CY6" s="10" t="str">
        <f t="shared" si="154"/>
        <v>T</v>
      </c>
      <c r="CZ6" s="10" t="str">
        <f t="shared" si="154"/>
        <v>F</v>
      </c>
      <c r="DA6" s="10" t="str">
        <f t="shared" si="154"/>
        <v>S</v>
      </c>
      <c r="DB6" s="10" t="str">
        <f t="shared" si="154"/>
        <v>S</v>
      </c>
      <c r="DC6" s="10" t="str">
        <f t="shared" si="154"/>
        <v>M</v>
      </c>
      <c r="DD6" s="10" t="str">
        <f t="shared" si="154"/>
        <v>T</v>
      </c>
      <c r="DE6" s="10" t="str">
        <f t="shared" si="154"/>
        <v>W</v>
      </c>
      <c r="DF6" s="10" t="str">
        <f t="shared" si="154"/>
        <v>T</v>
      </c>
      <c r="DG6" s="10" t="str">
        <f t="shared" si="154"/>
        <v>F</v>
      </c>
      <c r="DH6" s="10" t="str">
        <f t="shared" si="154"/>
        <v>S</v>
      </c>
      <c r="DI6" s="10" t="str">
        <f t="shared" si="154"/>
        <v>S</v>
      </c>
      <c r="DJ6" s="10" t="str">
        <f t="shared" ref="DJ6:DP6" si="155">LEFT(TEXT(DJ5,"ddd"),1)</f>
        <v>M</v>
      </c>
      <c r="DK6" s="10" t="str">
        <f t="shared" si="155"/>
        <v>T</v>
      </c>
      <c r="DL6" s="10" t="str">
        <f t="shared" si="155"/>
        <v>W</v>
      </c>
      <c r="DM6" s="10" t="str">
        <f t="shared" si="155"/>
        <v>T</v>
      </c>
      <c r="DN6" s="10" t="str">
        <f t="shared" si="155"/>
        <v>F</v>
      </c>
      <c r="DO6" s="10" t="str">
        <f t="shared" si="155"/>
        <v>S</v>
      </c>
      <c r="DP6" s="10" t="str">
        <f t="shared" si="155"/>
        <v>S</v>
      </c>
      <c r="DQ6" s="10" t="str">
        <f t="shared" ref="DQ6:ED6" si="156">LEFT(TEXT(DQ5,"ddd"),1)</f>
        <v>M</v>
      </c>
      <c r="DR6" s="10" t="str">
        <f t="shared" si="156"/>
        <v>T</v>
      </c>
      <c r="DS6" s="10" t="str">
        <f t="shared" si="156"/>
        <v>W</v>
      </c>
      <c r="DT6" s="10" t="str">
        <f t="shared" si="156"/>
        <v>T</v>
      </c>
      <c r="DU6" s="10" t="str">
        <f t="shared" si="156"/>
        <v>F</v>
      </c>
      <c r="DV6" s="10" t="str">
        <f t="shared" si="156"/>
        <v>S</v>
      </c>
      <c r="DW6" s="10" t="str">
        <f t="shared" si="156"/>
        <v>S</v>
      </c>
      <c r="DX6" s="10" t="str">
        <f t="shared" si="156"/>
        <v>M</v>
      </c>
      <c r="DY6" s="10" t="str">
        <f t="shared" si="156"/>
        <v>T</v>
      </c>
      <c r="DZ6" s="10" t="str">
        <f t="shared" si="156"/>
        <v>W</v>
      </c>
      <c r="EA6" s="10" t="str">
        <f t="shared" si="156"/>
        <v>T</v>
      </c>
      <c r="EB6" s="10" t="str">
        <f t="shared" si="156"/>
        <v>F</v>
      </c>
      <c r="EC6" s="10" t="str">
        <f t="shared" si="156"/>
        <v>S</v>
      </c>
      <c r="ED6" s="10" t="str">
        <f t="shared" si="156"/>
        <v>S</v>
      </c>
      <c r="EE6" s="10" t="str">
        <f t="shared" ref="EE6:EK6" si="157">LEFT(TEXT(EE5,"ddd"),1)</f>
        <v>M</v>
      </c>
      <c r="EF6" s="10" t="str">
        <f t="shared" si="157"/>
        <v>T</v>
      </c>
      <c r="EG6" s="10" t="str">
        <f t="shared" si="157"/>
        <v>W</v>
      </c>
      <c r="EH6" s="10" t="str">
        <f t="shared" si="157"/>
        <v>T</v>
      </c>
      <c r="EI6" s="10" t="str">
        <f t="shared" si="157"/>
        <v>F</v>
      </c>
      <c r="EJ6" s="10" t="str">
        <f t="shared" si="157"/>
        <v>S</v>
      </c>
      <c r="EK6" s="10" t="str">
        <f t="shared" si="157"/>
        <v>S</v>
      </c>
      <c r="EL6" s="10" t="str">
        <f t="shared" ref="EL6:ER6" si="158">LEFT(TEXT(EL5,"ddd"),1)</f>
        <v>M</v>
      </c>
      <c r="EM6" s="10" t="str">
        <f t="shared" si="158"/>
        <v>T</v>
      </c>
      <c r="EN6" s="10" t="str">
        <f t="shared" si="158"/>
        <v>W</v>
      </c>
      <c r="EO6" s="10" t="str">
        <f t="shared" si="158"/>
        <v>T</v>
      </c>
      <c r="EP6" s="10" t="str">
        <f t="shared" si="158"/>
        <v>F</v>
      </c>
      <c r="EQ6" s="10" t="str">
        <f t="shared" si="158"/>
        <v>S</v>
      </c>
      <c r="ER6" s="10" t="str">
        <f t="shared" si="158"/>
        <v>S</v>
      </c>
      <c r="ES6" s="10" t="str">
        <f t="shared" ref="ES6:EY6" si="159">LEFT(TEXT(ES5,"ddd"),1)</f>
        <v>M</v>
      </c>
      <c r="ET6" s="10" t="str">
        <f t="shared" si="159"/>
        <v>T</v>
      </c>
      <c r="EU6" s="10" t="str">
        <f t="shared" si="159"/>
        <v>W</v>
      </c>
      <c r="EV6" s="10" t="str">
        <f t="shared" si="159"/>
        <v>T</v>
      </c>
      <c r="EW6" s="10" t="str">
        <f t="shared" si="159"/>
        <v>F</v>
      </c>
      <c r="EX6" s="10" t="str">
        <f t="shared" si="159"/>
        <v>S</v>
      </c>
      <c r="EY6" s="10" t="str">
        <f t="shared" si="159"/>
        <v>S</v>
      </c>
      <c r="EZ6" s="10" t="str">
        <f t="shared" ref="EZ6:FF6" si="160">LEFT(TEXT(EZ5,"ddd"),1)</f>
        <v>M</v>
      </c>
      <c r="FA6" s="10" t="str">
        <f t="shared" si="160"/>
        <v>T</v>
      </c>
      <c r="FB6" s="10" t="str">
        <f t="shared" si="160"/>
        <v>W</v>
      </c>
      <c r="FC6" s="10" t="str">
        <f t="shared" si="160"/>
        <v>T</v>
      </c>
      <c r="FD6" s="10" t="str">
        <f t="shared" si="160"/>
        <v>F</v>
      </c>
      <c r="FE6" s="10" t="str">
        <f t="shared" si="160"/>
        <v>S</v>
      </c>
      <c r="FF6" s="10" t="str">
        <f t="shared" si="160"/>
        <v>S</v>
      </c>
      <c r="FG6" s="10" t="str">
        <f t="shared" ref="FG6:FM6" si="161">LEFT(TEXT(FG5,"ddd"),1)</f>
        <v>M</v>
      </c>
      <c r="FH6" s="10" t="str">
        <f t="shared" si="161"/>
        <v>T</v>
      </c>
      <c r="FI6" s="10" t="str">
        <f t="shared" si="161"/>
        <v>W</v>
      </c>
      <c r="FJ6" s="10" t="str">
        <f t="shared" si="161"/>
        <v>T</v>
      </c>
      <c r="FK6" s="10" t="str">
        <f t="shared" si="161"/>
        <v>F</v>
      </c>
      <c r="FL6" s="10" t="str">
        <f t="shared" si="161"/>
        <v>S</v>
      </c>
      <c r="FM6" s="10" t="str">
        <f t="shared" si="161"/>
        <v>S</v>
      </c>
      <c r="FN6" s="10" t="str">
        <f t="shared" ref="FN6:GO6" si="162">LEFT(TEXT(FN5,"ddd"),1)</f>
        <v>M</v>
      </c>
      <c r="FO6" s="10" t="str">
        <f t="shared" si="162"/>
        <v>T</v>
      </c>
      <c r="FP6" s="10" t="str">
        <f t="shared" si="162"/>
        <v>W</v>
      </c>
      <c r="FQ6" s="10" t="str">
        <f t="shared" si="162"/>
        <v>T</v>
      </c>
      <c r="FR6" s="10" t="str">
        <f t="shared" si="162"/>
        <v>F</v>
      </c>
      <c r="FS6" s="10" t="str">
        <f t="shared" si="162"/>
        <v>S</v>
      </c>
      <c r="FT6" s="10" t="str">
        <f t="shared" si="162"/>
        <v>S</v>
      </c>
      <c r="FU6" s="10" t="str">
        <f t="shared" si="162"/>
        <v>M</v>
      </c>
      <c r="FV6" s="10" t="str">
        <f t="shared" si="162"/>
        <v>T</v>
      </c>
      <c r="FW6" s="10" t="str">
        <f t="shared" si="162"/>
        <v>W</v>
      </c>
      <c r="FX6" s="10" t="str">
        <f t="shared" si="162"/>
        <v>T</v>
      </c>
      <c r="FY6" s="10" t="str">
        <f t="shared" si="162"/>
        <v>F</v>
      </c>
      <c r="FZ6" s="10" t="str">
        <f t="shared" si="162"/>
        <v>S</v>
      </c>
      <c r="GA6" s="10" t="str">
        <f t="shared" si="162"/>
        <v>S</v>
      </c>
      <c r="GB6" s="10" t="str">
        <f t="shared" si="162"/>
        <v>M</v>
      </c>
      <c r="GC6" s="10" t="str">
        <f t="shared" si="162"/>
        <v>T</v>
      </c>
      <c r="GD6" s="10" t="str">
        <f t="shared" si="162"/>
        <v>W</v>
      </c>
      <c r="GE6" s="10" t="str">
        <f t="shared" si="162"/>
        <v>T</v>
      </c>
      <c r="GF6" s="10" t="str">
        <f t="shared" si="162"/>
        <v>F</v>
      </c>
      <c r="GG6" s="10" t="str">
        <f t="shared" si="162"/>
        <v>S</v>
      </c>
      <c r="GH6" s="10" t="str">
        <f t="shared" si="162"/>
        <v>S</v>
      </c>
      <c r="GI6" s="10" t="str">
        <f t="shared" si="162"/>
        <v>M</v>
      </c>
      <c r="GJ6" s="10" t="str">
        <f t="shared" si="162"/>
        <v>T</v>
      </c>
      <c r="GK6" s="10" t="str">
        <f t="shared" si="162"/>
        <v>W</v>
      </c>
      <c r="GL6" s="10" t="str">
        <f t="shared" si="162"/>
        <v>T</v>
      </c>
      <c r="GM6" s="10" t="str">
        <f t="shared" si="162"/>
        <v>F</v>
      </c>
      <c r="GN6" s="10" t="str">
        <f t="shared" si="162"/>
        <v>S</v>
      </c>
      <c r="GO6" s="10" t="str">
        <f t="shared" si="162"/>
        <v>S</v>
      </c>
      <c r="GP6" s="10" t="str">
        <f t="shared" ref="GP6:HC6" si="163">LEFT(TEXT(GP5,"ddd"),1)</f>
        <v>M</v>
      </c>
      <c r="GQ6" s="10" t="str">
        <f t="shared" si="163"/>
        <v>T</v>
      </c>
      <c r="GR6" s="10" t="str">
        <f t="shared" si="163"/>
        <v>W</v>
      </c>
      <c r="GS6" s="10" t="str">
        <f t="shared" si="163"/>
        <v>T</v>
      </c>
      <c r="GT6" s="10" t="str">
        <f t="shared" si="163"/>
        <v>F</v>
      </c>
      <c r="GU6" s="10" t="str">
        <f t="shared" si="163"/>
        <v>S</v>
      </c>
      <c r="GV6" s="10" t="str">
        <f t="shared" si="163"/>
        <v>S</v>
      </c>
      <c r="GW6" s="10" t="str">
        <f t="shared" si="163"/>
        <v>M</v>
      </c>
      <c r="GX6" s="10" t="str">
        <f t="shared" si="163"/>
        <v>T</v>
      </c>
      <c r="GY6" s="10" t="str">
        <f t="shared" si="163"/>
        <v>W</v>
      </c>
      <c r="GZ6" s="10" t="str">
        <f t="shared" si="163"/>
        <v>T</v>
      </c>
      <c r="HA6" s="10" t="str">
        <f t="shared" si="163"/>
        <v>F</v>
      </c>
      <c r="HB6" s="10" t="str">
        <f t="shared" si="163"/>
        <v>S</v>
      </c>
      <c r="HC6" s="10" t="str">
        <f t="shared" si="163"/>
        <v>S</v>
      </c>
    </row>
    <row r="7" spans="1:211" ht="30" hidden="1" customHeight="1" thickBot="1" x14ac:dyDescent="0.3">
      <c r="A7" s="45" t="s">
        <v>6</v>
      </c>
      <c r="C7" s="48"/>
      <c r="E7"/>
      <c r="H7" t="str">
        <f>IF(OR(ISBLANK(task_start),ISBLANK(task_end)),"",task_end-task_start+1)</f>
        <v/>
      </c>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c r="BM7" s="31"/>
      <c r="BN7" s="31"/>
      <c r="BO7" s="31"/>
      <c r="BP7" s="31"/>
      <c r="BQ7" s="31"/>
      <c r="BR7" s="31"/>
      <c r="BS7" s="31"/>
      <c r="BT7" s="31"/>
      <c r="BU7" s="31"/>
      <c r="BV7" s="31"/>
      <c r="BW7" s="31"/>
      <c r="BX7" s="31"/>
      <c r="BY7" s="31"/>
      <c r="BZ7" s="31"/>
      <c r="CA7" s="31"/>
      <c r="CB7" s="31"/>
      <c r="CC7" s="31"/>
      <c r="CD7" s="31"/>
      <c r="CE7" s="31"/>
      <c r="CF7" s="31"/>
      <c r="CG7" s="31"/>
      <c r="CH7" s="31"/>
      <c r="CI7" s="31"/>
      <c r="CJ7" s="31"/>
      <c r="CK7" s="31"/>
      <c r="CL7" s="31"/>
      <c r="CM7" s="31"/>
      <c r="CN7" s="31"/>
      <c r="CO7" s="31"/>
      <c r="CP7" s="31"/>
      <c r="CQ7" s="31"/>
      <c r="CR7" s="31"/>
      <c r="CS7" s="31"/>
      <c r="CT7" s="31"/>
      <c r="CU7" s="31"/>
      <c r="CV7" s="31"/>
      <c r="CW7" s="31"/>
      <c r="CX7" s="31"/>
      <c r="CY7" s="31"/>
      <c r="CZ7" s="31"/>
      <c r="DA7" s="31"/>
      <c r="DB7" s="31"/>
      <c r="DC7" s="31"/>
      <c r="DD7" s="31"/>
      <c r="DE7" s="31"/>
      <c r="DF7" s="31"/>
      <c r="DG7" s="31"/>
      <c r="DH7" s="31"/>
      <c r="DI7" s="31"/>
      <c r="DJ7" s="31"/>
      <c r="DK7" s="31"/>
      <c r="DL7" s="31"/>
      <c r="DM7" s="31"/>
      <c r="DN7" s="31"/>
      <c r="DO7" s="31"/>
      <c r="DP7" s="31"/>
      <c r="DQ7" s="31"/>
      <c r="DR7" s="31"/>
      <c r="DS7" s="31"/>
      <c r="DT7" s="31"/>
      <c r="DU7" s="31"/>
      <c r="DV7" s="31"/>
      <c r="DW7" s="31"/>
      <c r="DX7" s="31"/>
      <c r="DY7" s="31"/>
      <c r="DZ7" s="31"/>
      <c r="EA7" s="31"/>
      <c r="EB7" s="31"/>
      <c r="EC7" s="31"/>
      <c r="ED7" s="31"/>
      <c r="EE7" s="31"/>
      <c r="EF7" s="31"/>
      <c r="EG7" s="31"/>
      <c r="EH7" s="31"/>
      <c r="EI7" s="31"/>
      <c r="EJ7" s="31"/>
      <c r="EK7" s="31"/>
      <c r="EL7" s="31"/>
      <c r="EM7" s="31"/>
      <c r="EN7" s="31"/>
      <c r="EO7" s="31"/>
      <c r="EP7" s="31"/>
      <c r="EQ7" s="31"/>
      <c r="ER7" s="31"/>
      <c r="ES7" s="31"/>
      <c r="ET7" s="31"/>
      <c r="EU7" s="31"/>
      <c r="EV7" s="31"/>
      <c r="EW7" s="31"/>
      <c r="EX7" s="31"/>
      <c r="EY7" s="31"/>
      <c r="EZ7" s="31"/>
      <c r="FA7" s="31"/>
      <c r="FB7" s="31"/>
      <c r="FC7" s="31"/>
      <c r="FD7" s="31"/>
      <c r="FE7" s="31"/>
      <c r="FF7" s="31"/>
      <c r="FG7" s="31"/>
      <c r="FH7" s="31"/>
      <c r="FI7" s="31"/>
      <c r="FJ7" s="31"/>
      <c r="FK7" s="31"/>
      <c r="FL7" s="31"/>
      <c r="FM7" s="31"/>
      <c r="FN7" s="31"/>
      <c r="FO7" s="31"/>
      <c r="FP7" s="31"/>
      <c r="FQ7" s="31"/>
      <c r="FR7" s="31"/>
      <c r="FS7" s="31"/>
      <c r="FT7" s="31"/>
      <c r="FU7" s="31"/>
      <c r="FV7" s="31"/>
      <c r="FW7" s="31"/>
      <c r="FX7" s="31"/>
      <c r="FY7" s="31"/>
      <c r="FZ7" s="31"/>
      <c r="GA7" s="31"/>
      <c r="GB7" s="31"/>
      <c r="GC7" s="31"/>
      <c r="GD7" s="31"/>
      <c r="GE7" s="31"/>
      <c r="GF7" s="31"/>
      <c r="GG7" s="31"/>
      <c r="GH7" s="31"/>
      <c r="GI7" s="31"/>
      <c r="GJ7" s="31"/>
      <c r="GK7" s="31"/>
      <c r="GL7" s="31"/>
      <c r="GM7" s="31"/>
      <c r="GN7" s="31"/>
      <c r="GO7" s="31"/>
      <c r="GP7" s="31"/>
      <c r="GQ7" s="31"/>
      <c r="GR7" s="31"/>
      <c r="GS7" s="31"/>
      <c r="GT7" s="31"/>
      <c r="GU7" s="31"/>
      <c r="GV7" s="31"/>
      <c r="GW7" s="31"/>
      <c r="GX7" s="31"/>
      <c r="GY7" s="31"/>
      <c r="GZ7" s="31"/>
      <c r="HA7" s="31"/>
      <c r="HB7" s="31"/>
      <c r="HC7" s="31"/>
    </row>
    <row r="8" spans="1:211" s="3" customFormat="1" ht="30" customHeight="1" thickBot="1" x14ac:dyDescent="0.3">
      <c r="A8" s="46" t="s">
        <v>7</v>
      </c>
      <c r="B8" s="15" t="s">
        <v>38</v>
      </c>
      <c r="C8" s="52"/>
      <c r="D8" s="16"/>
      <c r="E8" s="68"/>
      <c r="F8" s="69"/>
      <c r="G8" s="14"/>
      <c r="H8" s="14" t="str">
        <f t="shared" ref="H8:H32" si="164">IF(OR(ISBLANK(task_start),ISBLANK(task_end)),"",task_end-task_start+1)</f>
        <v/>
      </c>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c r="BM8" s="31"/>
      <c r="BN8" s="31"/>
      <c r="BO8" s="31"/>
      <c r="BP8" s="31"/>
      <c r="BQ8" s="31"/>
      <c r="BR8" s="31"/>
      <c r="BS8" s="31"/>
      <c r="BT8" s="31"/>
      <c r="BU8" s="31"/>
      <c r="BV8" s="31"/>
      <c r="BW8" s="31"/>
      <c r="BX8" s="31"/>
      <c r="BY8" s="31"/>
      <c r="BZ8" s="31"/>
      <c r="CA8" s="31"/>
      <c r="CB8" s="31"/>
      <c r="CC8" s="31"/>
      <c r="CD8" s="31"/>
      <c r="CE8" s="31"/>
      <c r="CF8" s="31"/>
      <c r="CG8" s="31"/>
      <c r="CH8" s="31"/>
      <c r="CI8" s="31"/>
      <c r="CJ8" s="31"/>
      <c r="CK8" s="31"/>
      <c r="CL8" s="31"/>
      <c r="CM8" s="31"/>
      <c r="CN8" s="31"/>
      <c r="CO8" s="31"/>
      <c r="CP8" s="31"/>
      <c r="CQ8" s="31"/>
      <c r="CR8" s="31"/>
      <c r="CS8" s="31"/>
      <c r="CT8" s="31"/>
      <c r="CU8" s="31"/>
      <c r="CV8" s="31"/>
      <c r="CW8" s="31"/>
      <c r="CX8" s="31"/>
      <c r="CY8" s="31"/>
      <c r="CZ8" s="31"/>
      <c r="DA8" s="31"/>
      <c r="DB8" s="31"/>
      <c r="DC8" s="31"/>
      <c r="DD8" s="31"/>
      <c r="DE8" s="31"/>
      <c r="DF8" s="31"/>
      <c r="DG8" s="31"/>
      <c r="DH8" s="31"/>
      <c r="DI8" s="31"/>
      <c r="DJ8" s="31"/>
      <c r="DK8" s="31"/>
      <c r="DL8" s="31"/>
      <c r="DM8" s="31"/>
      <c r="DN8" s="31"/>
      <c r="DO8" s="31"/>
      <c r="DP8" s="31"/>
      <c r="DQ8" s="31"/>
      <c r="DR8" s="31"/>
      <c r="DS8" s="31"/>
      <c r="DT8" s="31"/>
      <c r="DU8" s="31"/>
      <c r="DV8" s="31"/>
      <c r="DW8" s="31"/>
      <c r="DX8" s="31"/>
      <c r="DY8" s="31"/>
      <c r="DZ8" s="31"/>
      <c r="EA8" s="31"/>
      <c r="EB8" s="31"/>
      <c r="EC8" s="31"/>
      <c r="ED8" s="31"/>
      <c r="EE8" s="31"/>
      <c r="EF8" s="31"/>
      <c r="EG8" s="31"/>
      <c r="EH8" s="31"/>
      <c r="EI8" s="31"/>
      <c r="EJ8" s="31"/>
      <c r="EK8" s="31"/>
      <c r="EL8" s="31"/>
      <c r="EM8" s="31"/>
      <c r="EN8" s="31"/>
      <c r="EO8" s="31"/>
      <c r="EP8" s="31"/>
      <c r="EQ8" s="31"/>
      <c r="ER8" s="31"/>
      <c r="ES8" s="31"/>
      <c r="ET8" s="31"/>
      <c r="EU8" s="31"/>
      <c r="EV8" s="31"/>
      <c r="EW8" s="31"/>
      <c r="EX8" s="31"/>
      <c r="EY8" s="31"/>
      <c r="EZ8" s="31"/>
      <c r="FA8" s="31"/>
      <c r="FB8" s="31"/>
      <c r="FC8" s="31"/>
      <c r="FD8" s="31"/>
      <c r="FE8" s="31"/>
      <c r="FF8" s="31"/>
      <c r="FG8" s="31"/>
      <c r="FH8" s="31"/>
      <c r="FI8" s="31"/>
      <c r="FJ8" s="31"/>
      <c r="FK8" s="31"/>
      <c r="FL8" s="31"/>
      <c r="FM8" s="31"/>
      <c r="FN8" s="31"/>
      <c r="FO8" s="31"/>
      <c r="FP8" s="31"/>
      <c r="FQ8" s="31"/>
      <c r="FR8" s="31"/>
      <c r="FS8" s="31"/>
      <c r="FT8" s="31"/>
      <c r="FU8" s="31"/>
      <c r="FV8" s="31"/>
      <c r="FW8" s="31"/>
      <c r="FX8" s="31"/>
      <c r="FY8" s="31"/>
      <c r="FZ8" s="31"/>
      <c r="GA8" s="31"/>
      <c r="GB8" s="31"/>
      <c r="GC8" s="31"/>
      <c r="GD8" s="31"/>
      <c r="GE8" s="31"/>
      <c r="GF8" s="31"/>
      <c r="GG8" s="31"/>
      <c r="GH8" s="31"/>
      <c r="GI8" s="31"/>
      <c r="GJ8" s="31"/>
      <c r="GK8" s="31"/>
      <c r="GL8" s="31"/>
      <c r="GM8" s="31"/>
      <c r="GN8" s="31"/>
      <c r="GO8" s="31"/>
      <c r="GP8" s="31"/>
      <c r="GQ8" s="31"/>
      <c r="GR8" s="31"/>
      <c r="GS8" s="31"/>
      <c r="GT8" s="31"/>
      <c r="GU8" s="31"/>
      <c r="GV8" s="31"/>
      <c r="GW8" s="31"/>
      <c r="GX8" s="31"/>
      <c r="GY8" s="31"/>
      <c r="GZ8" s="31"/>
      <c r="HA8" s="31"/>
      <c r="HB8" s="31"/>
      <c r="HC8" s="31"/>
    </row>
    <row r="9" spans="1:211" s="3" customFormat="1" ht="30" customHeight="1" thickBot="1" x14ac:dyDescent="0.3">
      <c r="A9" s="46" t="s">
        <v>8</v>
      </c>
      <c r="B9" s="61" t="s">
        <v>43</v>
      </c>
      <c r="C9" s="53"/>
      <c r="D9" s="17">
        <v>1</v>
      </c>
      <c r="E9" s="70">
        <f>Project_Start</f>
        <v>45923</v>
      </c>
      <c r="F9" s="70">
        <f>E9+7</f>
        <v>45930</v>
      </c>
      <c r="G9" s="14"/>
      <c r="H9" s="14">
        <f t="shared" si="164"/>
        <v>8</v>
      </c>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c r="BM9" s="31"/>
      <c r="BN9" s="31"/>
      <c r="BO9" s="31"/>
      <c r="BP9" s="31"/>
      <c r="BQ9" s="31"/>
      <c r="BR9" s="31"/>
      <c r="BS9" s="31"/>
      <c r="BT9" s="31"/>
      <c r="BU9" s="31"/>
      <c r="BV9" s="31"/>
      <c r="BW9" s="31"/>
      <c r="BX9" s="31"/>
      <c r="BY9" s="31"/>
      <c r="BZ9" s="31"/>
      <c r="CA9" s="31"/>
      <c r="CB9" s="31"/>
      <c r="CC9" s="31"/>
      <c r="CD9" s="31"/>
      <c r="CE9" s="31"/>
      <c r="CF9" s="31"/>
      <c r="CG9" s="31"/>
      <c r="CH9" s="31"/>
      <c r="CI9" s="31"/>
      <c r="CJ9" s="31"/>
      <c r="CK9" s="31"/>
      <c r="CL9" s="31"/>
      <c r="CM9" s="31"/>
      <c r="CN9" s="31"/>
      <c r="CO9" s="31"/>
      <c r="CP9" s="31"/>
      <c r="CQ9" s="31"/>
      <c r="CR9" s="31"/>
      <c r="CS9" s="31"/>
      <c r="CT9" s="31"/>
      <c r="CU9" s="31"/>
      <c r="CV9" s="31"/>
      <c r="CW9" s="31"/>
      <c r="CX9" s="31"/>
      <c r="CY9" s="31"/>
      <c r="CZ9" s="31"/>
      <c r="DA9" s="31"/>
      <c r="DB9" s="31"/>
      <c r="DC9" s="31"/>
      <c r="DD9" s="31"/>
      <c r="DE9" s="31"/>
      <c r="DF9" s="31"/>
      <c r="DG9" s="31"/>
      <c r="DH9" s="31"/>
      <c r="DI9" s="31"/>
      <c r="DJ9" s="31"/>
      <c r="DK9" s="31"/>
      <c r="DL9" s="31"/>
      <c r="DM9" s="31"/>
      <c r="DN9" s="31"/>
      <c r="DO9" s="31"/>
      <c r="DP9" s="31"/>
      <c r="DQ9" s="31"/>
      <c r="DR9" s="31"/>
      <c r="DS9" s="31"/>
      <c r="DT9" s="31"/>
      <c r="DU9" s="31"/>
      <c r="DV9" s="31"/>
      <c r="DW9" s="31"/>
      <c r="DX9" s="31"/>
      <c r="DY9" s="31"/>
      <c r="DZ9" s="31"/>
      <c r="EA9" s="31"/>
      <c r="EB9" s="31"/>
      <c r="EC9" s="31"/>
      <c r="ED9" s="31"/>
      <c r="EE9" s="31"/>
      <c r="EF9" s="31"/>
      <c r="EG9" s="31"/>
      <c r="EH9" s="31"/>
      <c r="EI9" s="31"/>
      <c r="EJ9" s="31"/>
      <c r="EK9" s="31"/>
      <c r="EL9" s="31"/>
      <c r="EM9" s="31"/>
      <c r="EN9" s="31"/>
      <c r="EO9" s="31"/>
      <c r="EP9" s="31"/>
      <c r="EQ9" s="31"/>
      <c r="ER9" s="31"/>
      <c r="ES9" s="31"/>
      <c r="ET9" s="31"/>
      <c r="EU9" s="31"/>
      <c r="EV9" s="31"/>
      <c r="EW9" s="31"/>
      <c r="EX9" s="31"/>
      <c r="EY9" s="31"/>
      <c r="EZ9" s="31"/>
      <c r="FA9" s="31"/>
      <c r="FB9" s="31"/>
      <c r="FC9" s="31"/>
      <c r="FD9" s="31"/>
      <c r="FE9" s="31"/>
      <c r="FF9" s="31"/>
      <c r="FG9" s="31"/>
      <c r="FH9" s="31"/>
      <c r="FI9" s="31"/>
      <c r="FJ9" s="31"/>
      <c r="FK9" s="31"/>
      <c r="FL9" s="31"/>
      <c r="FM9" s="31"/>
      <c r="FN9" s="31"/>
      <c r="FO9" s="31"/>
      <c r="FP9" s="31"/>
      <c r="FQ9" s="31"/>
      <c r="FR9" s="31"/>
      <c r="FS9" s="31"/>
      <c r="FT9" s="31"/>
      <c r="FU9" s="31"/>
      <c r="FV9" s="31"/>
      <c r="FW9" s="31"/>
      <c r="FX9" s="31"/>
      <c r="FY9" s="31"/>
      <c r="FZ9" s="31"/>
      <c r="GA9" s="31"/>
      <c r="GB9" s="31"/>
      <c r="GC9" s="31"/>
      <c r="GD9" s="31"/>
      <c r="GE9" s="31"/>
      <c r="GF9" s="31"/>
      <c r="GG9" s="31"/>
      <c r="GH9" s="31"/>
      <c r="GI9" s="31"/>
      <c r="GJ9" s="31"/>
      <c r="GK9" s="31"/>
      <c r="GL9" s="31"/>
      <c r="GM9" s="31"/>
      <c r="GN9" s="31"/>
      <c r="GO9" s="31"/>
      <c r="GP9" s="31"/>
      <c r="GQ9" s="31"/>
      <c r="GR9" s="31"/>
      <c r="GS9" s="31"/>
      <c r="GT9" s="31"/>
      <c r="GU9" s="31"/>
      <c r="GV9" s="31"/>
      <c r="GW9" s="31"/>
      <c r="GX9" s="31"/>
      <c r="GY9" s="31"/>
      <c r="GZ9" s="31"/>
      <c r="HA9" s="31"/>
      <c r="HB9" s="31"/>
      <c r="HC9" s="31"/>
    </row>
    <row r="10" spans="1:211" s="3" customFormat="1" ht="30" customHeight="1" thickBot="1" x14ac:dyDescent="0.3">
      <c r="A10" s="46" t="s">
        <v>9</v>
      </c>
      <c r="B10" s="61" t="s">
        <v>42</v>
      </c>
      <c r="C10" s="53"/>
      <c r="D10" s="17">
        <v>1</v>
      </c>
      <c r="E10" s="70">
        <f>F9+1</f>
        <v>45931</v>
      </c>
      <c r="F10" s="70">
        <f>E10+7</f>
        <v>45938</v>
      </c>
      <c r="G10" s="14"/>
      <c r="H10" s="14">
        <f t="shared" si="164"/>
        <v>8</v>
      </c>
      <c r="I10" s="31"/>
      <c r="J10" s="31"/>
      <c r="K10" s="31"/>
      <c r="L10" s="31"/>
      <c r="M10" s="31"/>
      <c r="N10" s="31"/>
      <c r="O10" s="31"/>
      <c r="P10" s="31"/>
      <c r="Q10" s="31"/>
      <c r="R10" s="31"/>
      <c r="S10" s="31"/>
      <c r="T10" s="31"/>
      <c r="U10" s="32"/>
      <c r="V10" s="32"/>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c r="BM10" s="31"/>
      <c r="BN10" s="31"/>
      <c r="BO10" s="31"/>
      <c r="BP10" s="31"/>
      <c r="BQ10" s="31"/>
      <c r="BR10" s="31"/>
      <c r="BS10" s="31"/>
      <c r="BT10" s="31"/>
      <c r="BU10" s="31"/>
      <c r="BV10" s="31"/>
      <c r="BW10" s="31"/>
      <c r="BX10" s="31"/>
      <c r="BY10" s="31"/>
      <c r="BZ10" s="31"/>
      <c r="CA10" s="31"/>
      <c r="CB10" s="31"/>
      <c r="CC10" s="31"/>
      <c r="CD10" s="31"/>
      <c r="CE10" s="31"/>
      <c r="CF10" s="31"/>
      <c r="CG10" s="31"/>
      <c r="CH10" s="31"/>
      <c r="CI10" s="31"/>
      <c r="CJ10" s="31"/>
      <c r="CK10" s="31"/>
      <c r="CL10" s="31"/>
      <c r="CM10" s="31"/>
      <c r="CN10" s="31"/>
      <c r="CO10" s="31"/>
      <c r="CP10" s="31"/>
      <c r="CQ10" s="31"/>
      <c r="CR10" s="31"/>
      <c r="CS10" s="31"/>
      <c r="CT10" s="31"/>
      <c r="CU10" s="31"/>
      <c r="CV10" s="31"/>
      <c r="CW10" s="31"/>
      <c r="CX10" s="31"/>
      <c r="CY10" s="31"/>
      <c r="CZ10" s="31"/>
      <c r="DA10" s="31"/>
      <c r="DB10" s="31"/>
      <c r="DC10" s="31"/>
      <c r="DD10" s="31"/>
      <c r="DE10" s="31"/>
      <c r="DF10" s="31"/>
      <c r="DG10" s="31"/>
      <c r="DH10" s="31"/>
      <c r="DI10" s="31"/>
      <c r="DJ10" s="31"/>
      <c r="DK10" s="31"/>
      <c r="DL10" s="31"/>
      <c r="DM10" s="31"/>
      <c r="DN10" s="31"/>
      <c r="DO10" s="31"/>
      <c r="DP10" s="31"/>
      <c r="DQ10" s="31"/>
      <c r="DR10" s="31"/>
      <c r="DS10" s="31"/>
      <c r="DT10" s="31"/>
      <c r="DU10" s="31"/>
      <c r="DV10" s="31"/>
      <c r="DW10" s="31"/>
      <c r="DX10" s="31"/>
      <c r="DY10" s="31"/>
      <c r="DZ10" s="31"/>
      <c r="EA10" s="31"/>
      <c r="EB10" s="31"/>
      <c r="EC10" s="31"/>
      <c r="ED10" s="31"/>
      <c r="EE10" s="31"/>
      <c r="EF10" s="31"/>
      <c r="EG10" s="31"/>
      <c r="EH10" s="31"/>
      <c r="EI10" s="31"/>
      <c r="EJ10" s="31"/>
      <c r="EK10" s="31"/>
      <c r="EL10" s="31"/>
      <c r="EM10" s="31"/>
      <c r="EN10" s="31"/>
      <c r="EO10" s="31"/>
      <c r="EP10" s="31"/>
      <c r="EQ10" s="31"/>
      <c r="ER10" s="31"/>
      <c r="ES10" s="31"/>
      <c r="ET10" s="31"/>
      <c r="EU10" s="31"/>
      <c r="EV10" s="31"/>
      <c r="EW10" s="31"/>
      <c r="EX10" s="31"/>
      <c r="EY10" s="31"/>
      <c r="EZ10" s="31"/>
      <c r="FA10" s="31"/>
      <c r="FB10" s="31"/>
      <c r="FC10" s="31"/>
      <c r="FD10" s="31"/>
      <c r="FE10" s="31"/>
      <c r="FF10" s="31"/>
      <c r="FG10" s="31"/>
      <c r="FH10" s="31"/>
      <c r="FI10" s="31"/>
      <c r="FJ10" s="31"/>
      <c r="FK10" s="31"/>
      <c r="FL10" s="31"/>
      <c r="FM10" s="31"/>
      <c r="FN10" s="31"/>
      <c r="FO10" s="31"/>
      <c r="FP10" s="31"/>
      <c r="FQ10" s="31"/>
      <c r="FR10" s="31"/>
      <c r="FS10" s="31"/>
      <c r="FT10" s="31"/>
      <c r="FU10" s="31"/>
      <c r="FV10" s="31"/>
      <c r="FW10" s="31"/>
      <c r="FX10" s="31"/>
      <c r="FY10" s="31"/>
      <c r="FZ10" s="31"/>
      <c r="GA10" s="31"/>
      <c r="GB10" s="31"/>
      <c r="GC10" s="31"/>
      <c r="GD10" s="31"/>
      <c r="GE10" s="31"/>
      <c r="GF10" s="31"/>
      <c r="GG10" s="31"/>
      <c r="GH10" s="31"/>
      <c r="GI10" s="31"/>
      <c r="GJ10" s="31"/>
      <c r="GK10" s="31"/>
      <c r="GL10" s="31"/>
      <c r="GM10" s="31"/>
      <c r="GN10" s="31"/>
      <c r="GO10" s="31"/>
      <c r="GP10" s="31"/>
      <c r="GQ10" s="31"/>
      <c r="GR10" s="31"/>
      <c r="GS10" s="31"/>
      <c r="GT10" s="31"/>
      <c r="GU10" s="31"/>
      <c r="GV10" s="31"/>
      <c r="GW10" s="31"/>
      <c r="GX10" s="31"/>
      <c r="GY10" s="31"/>
      <c r="GZ10" s="31"/>
      <c r="HA10" s="31"/>
      <c r="HB10" s="31"/>
      <c r="HC10" s="31"/>
    </row>
    <row r="11" spans="1:211" s="3" customFormat="1" ht="30" customHeight="1" thickBot="1" x14ac:dyDescent="0.3">
      <c r="A11" s="45"/>
      <c r="B11" s="61" t="s">
        <v>41</v>
      </c>
      <c r="C11" s="53"/>
      <c r="D11" s="17">
        <v>1</v>
      </c>
      <c r="E11" s="70">
        <f>F10+1</f>
        <v>45939</v>
      </c>
      <c r="F11" s="70">
        <f>E11+7</f>
        <v>45946</v>
      </c>
      <c r="G11" s="14"/>
      <c r="H11" s="14">
        <f t="shared" si="164"/>
        <v>8</v>
      </c>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c r="BM11" s="31"/>
      <c r="BN11" s="31"/>
      <c r="BO11" s="31"/>
      <c r="BP11" s="31"/>
      <c r="BQ11" s="31"/>
      <c r="BR11" s="31"/>
      <c r="BS11" s="31"/>
      <c r="BT11" s="31"/>
      <c r="BU11" s="31"/>
      <c r="BV11" s="31"/>
      <c r="BW11" s="31"/>
      <c r="BX11" s="31"/>
      <c r="BY11" s="31"/>
      <c r="BZ11" s="31"/>
      <c r="CA11" s="31"/>
      <c r="CB11" s="31"/>
      <c r="CC11" s="31"/>
      <c r="CD11" s="31"/>
      <c r="CE11" s="31"/>
      <c r="CF11" s="31"/>
      <c r="CG11" s="31"/>
      <c r="CH11" s="31"/>
      <c r="CI11" s="31"/>
      <c r="CJ11" s="31"/>
      <c r="CK11" s="31"/>
      <c r="CL11" s="31"/>
      <c r="CM11" s="31"/>
      <c r="CN11" s="31"/>
      <c r="CO11" s="31"/>
      <c r="CP11" s="31"/>
      <c r="CQ11" s="31"/>
      <c r="CR11" s="31"/>
      <c r="CS11" s="31"/>
      <c r="CT11" s="31"/>
      <c r="CU11" s="31"/>
      <c r="CV11" s="31"/>
      <c r="CW11" s="31"/>
      <c r="CX11" s="31"/>
      <c r="CY11" s="31"/>
      <c r="CZ11" s="31"/>
      <c r="DA11" s="31"/>
      <c r="DB11" s="31"/>
      <c r="DC11" s="31"/>
      <c r="DD11" s="31"/>
      <c r="DE11" s="31"/>
      <c r="DF11" s="31"/>
      <c r="DG11" s="31"/>
      <c r="DH11" s="31"/>
      <c r="DI11" s="31"/>
      <c r="DJ11" s="31"/>
      <c r="DK11" s="31"/>
      <c r="DL11" s="31"/>
      <c r="DM11" s="31"/>
      <c r="DN11" s="31"/>
      <c r="DO11" s="31"/>
      <c r="DP11" s="31"/>
      <c r="DQ11" s="31"/>
      <c r="DR11" s="31"/>
      <c r="DS11" s="31"/>
      <c r="DT11" s="31"/>
      <c r="DU11" s="31"/>
      <c r="DV11" s="31"/>
      <c r="DW11" s="31"/>
      <c r="DX11" s="31"/>
      <c r="DY11" s="31"/>
      <c r="DZ11" s="31"/>
      <c r="EA11" s="31"/>
      <c r="EB11" s="31"/>
      <c r="EC11" s="31"/>
      <c r="ED11" s="31"/>
      <c r="EE11" s="31"/>
      <c r="EF11" s="31"/>
      <c r="EG11" s="31"/>
      <c r="EH11" s="31"/>
      <c r="EI11" s="31"/>
      <c r="EJ11" s="31"/>
      <c r="EK11" s="31"/>
      <c r="EL11" s="31"/>
      <c r="EM11" s="31"/>
      <c r="EN11" s="31"/>
      <c r="EO11" s="31"/>
      <c r="EP11" s="31"/>
      <c r="EQ11" s="31"/>
      <c r="ER11" s="31"/>
      <c r="ES11" s="31"/>
      <c r="ET11" s="31"/>
      <c r="EU11" s="31"/>
      <c r="EV11" s="31"/>
      <c r="EW11" s="31"/>
      <c r="EX11" s="31"/>
      <c r="EY11" s="31"/>
      <c r="EZ11" s="31"/>
      <c r="FA11" s="31"/>
      <c r="FB11" s="31"/>
      <c r="FC11" s="31"/>
      <c r="FD11" s="31"/>
      <c r="FE11" s="31"/>
      <c r="FF11" s="31"/>
      <c r="FG11" s="31"/>
      <c r="FH11" s="31"/>
      <c r="FI11" s="31"/>
      <c r="FJ11" s="31"/>
      <c r="FK11" s="31"/>
      <c r="FL11" s="31"/>
      <c r="FM11" s="31"/>
      <c r="FN11" s="31"/>
      <c r="FO11" s="31"/>
      <c r="FP11" s="31"/>
      <c r="FQ11" s="31"/>
      <c r="FR11" s="31"/>
      <c r="FS11" s="31"/>
      <c r="FT11" s="31"/>
      <c r="FU11" s="31"/>
      <c r="FV11" s="31"/>
      <c r="FW11" s="31"/>
      <c r="FX11" s="31"/>
      <c r="FY11" s="31"/>
      <c r="FZ11" s="31"/>
      <c r="GA11" s="31"/>
      <c r="GB11" s="31"/>
      <c r="GC11" s="31"/>
      <c r="GD11" s="31"/>
      <c r="GE11" s="31"/>
      <c r="GF11" s="31"/>
      <c r="GG11" s="31"/>
      <c r="GH11" s="31"/>
      <c r="GI11" s="31"/>
      <c r="GJ11" s="31"/>
      <c r="GK11" s="31"/>
      <c r="GL11" s="31"/>
      <c r="GM11" s="31"/>
      <c r="GN11" s="31"/>
      <c r="GO11" s="31"/>
      <c r="GP11" s="31"/>
      <c r="GQ11" s="31"/>
      <c r="GR11" s="31"/>
      <c r="GS11" s="31"/>
      <c r="GT11" s="31"/>
      <c r="GU11" s="31"/>
      <c r="GV11" s="31"/>
      <c r="GW11" s="31"/>
      <c r="GX11" s="31"/>
      <c r="GY11" s="31"/>
      <c r="GZ11" s="31"/>
      <c r="HA11" s="31"/>
      <c r="HB11" s="31"/>
      <c r="HC11" s="31"/>
    </row>
    <row r="12" spans="1:211" s="3" customFormat="1" ht="30" customHeight="1" thickBot="1" x14ac:dyDescent="0.3">
      <c r="A12" s="45"/>
      <c r="B12" s="61" t="s">
        <v>40</v>
      </c>
      <c r="C12" s="53"/>
      <c r="D12" s="17">
        <v>1</v>
      </c>
      <c r="E12" s="70">
        <f>F11+1</f>
        <v>45947</v>
      </c>
      <c r="F12" s="70">
        <f>E12+7</f>
        <v>45954</v>
      </c>
      <c r="G12" s="14"/>
      <c r="H12" s="14">
        <f t="shared" si="164"/>
        <v>8</v>
      </c>
      <c r="I12" s="31"/>
      <c r="J12" s="31"/>
      <c r="K12" s="31"/>
      <c r="L12" s="31"/>
      <c r="M12" s="31"/>
      <c r="N12" s="31"/>
      <c r="O12" s="31"/>
      <c r="P12" s="31"/>
      <c r="Q12" s="31"/>
      <c r="R12" s="31"/>
      <c r="S12" s="31"/>
      <c r="T12" s="31"/>
      <c r="U12" s="31"/>
      <c r="V12" s="31"/>
      <c r="W12" s="31"/>
      <c r="X12" s="31"/>
      <c r="Y12" s="32"/>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c r="BM12" s="31"/>
      <c r="BN12" s="31"/>
      <c r="BO12" s="31"/>
      <c r="BP12" s="31"/>
      <c r="BQ12" s="31"/>
      <c r="BR12" s="31"/>
      <c r="BS12" s="31"/>
      <c r="BT12" s="31"/>
      <c r="BU12" s="31"/>
      <c r="BV12" s="31"/>
      <c r="BW12" s="31"/>
      <c r="BX12" s="31"/>
      <c r="BY12" s="31"/>
      <c r="BZ12" s="31"/>
      <c r="CA12" s="31"/>
      <c r="CB12" s="31"/>
      <c r="CC12" s="31"/>
      <c r="CD12" s="31"/>
      <c r="CE12" s="31"/>
      <c r="CF12" s="31"/>
      <c r="CG12" s="31"/>
      <c r="CH12" s="31"/>
      <c r="CI12" s="31"/>
      <c r="CJ12" s="31"/>
      <c r="CK12" s="31"/>
      <c r="CL12" s="31"/>
      <c r="CM12" s="31"/>
      <c r="CN12" s="31"/>
      <c r="CO12" s="31"/>
      <c r="CP12" s="31"/>
      <c r="CQ12" s="31"/>
      <c r="CR12" s="31"/>
      <c r="CS12" s="31"/>
      <c r="CT12" s="31"/>
      <c r="CU12" s="31"/>
      <c r="CV12" s="31"/>
      <c r="CW12" s="31"/>
      <c r="CX12" s="31"/>
      <c r="CY12" s="31"/>
      <c r="CZ12" s="31"/>
      <c r="DA12" s="31"/>
      <c r="DB12" s="31"/>
      <c r="DC12" s="31"/>
      <c r="DD12" s="31"/>
      <c r="DE12" s="31"/>
      <c r="DF12" s="31"/>
      <c r="DG12" s="31"/>
      <c r="DH12" s="31"/>
      <c r="DI12" s="31"/>
      <c r="DJ12" s="31"/>
      <c r="DK12" s="31"/>
      <c r="DL12" s="31"/>
      <c r="DM12" s="31"/>
      <c r="DN12" s="31"/>
      <c r="DO12" s="31"/>
      <c r="DP12" s="31"/>
      <c r="DQ12" s="31"/>
      <c r="DR12" s="31"/>
      <c r="DS12" s="31"/>
      <c r="DT12" s="31"/>
      <c r="DU12" s="31"/>
      <c r="DV12" s="31"/>
      <c r="DW12" s="31"/>
      <c r="DX12" s="31"/>
      <c r="DY12" s="31"/>
      <c r="DZ12" s="31"/>
      <c r="EA12" s="31"/>
      <c r="EB12" s="31"/>
      <c r="EC12" s="31"/>
      <c r="ED12" s="31"/>
      <c r="EE12" s="31"/>
      <c r="EF12" s="31"/>
      <c r="EG12" s="31"/>
      <c r="EH12" s="31"/>
      <c r="EI12" s="31"/>
      <c r="EJ12" s="31"/>
      <c r="EK12" s="31"/>
      <c r="EL12" s="31"/>
      <c r="EM12" s="31"/>
      <c r="EN12" s="31"/>
      <c r="EO12" s="31"/>
      <c r="EP12" s="31"/>
      <c r="EQ12" s="31"/>
      <c r="ER12" s="31"/>
      <c r="ES12" s="31"/>
      <c r="ET12" s="31"/>
      <c r="EU12" s="31"/>
      <c r="EV12" s="31"/>
      <c r="EW12" s="31"/>
      <c r="EX12" s="31"/>
      <c r="EY12" s="31"/>
      <c r="EZ12" s="31"/>
      <c r="FA12" s="31"/>
      <c r="FB12" s="31"/>
      <c r="FC12" s="31"/>
      <c r="FD12" s="31"/>
      <c r="FE12" s="31"/>
      <c r="FF12" s="31"/>
      <c r="FG12" s="31"/>
      <c r="FH12" s="31"/>
      <c r="FI12" s="31"/>
      <c r="FJ12" s="31"/>
      <c r="FK12" s="31"/>
      <c r="FL12" s="31"/>
      <c r="FM12" s="31"/>
      <c r="FN12" s="31"/>
      <c r="FO12" s="31"/>
      <c r="FP12" s="31"/>
      <c r="FQ12" s="31"/>
      <c r="FR12" s="31"/>
      <c r="FS12" s="31"/>
      <c r="FT12" s="31"/>
      <c r="FU12" s="31"/>
      <c r="FV12" s="31"/>
      <c r="FW12" s="31"/>
      <c r="FX12" s="31"/>
      <c r="FY12" s="31"/>
      <c r="FZ12" s="31"/>
      <c r="GA12" s="31"/>
      <c r="GB12" s="31"/>
      <c r="GC12" s="31"/>
      <c r="GD12" s="31"/>
      <c r="GE12" s="31"/>
      <c r="GF12" s="31"/>
      <c r="GG12" s="31"/>
      <c r="GH12" s="31"/>
      <c r="GI12" s="31"/>
      <c r="GJ12" s="31"/>
      <c r="GK12" s="31"/>
      <c r="GL12" s="31"/>
      <c r="GM12" s="31"/>
      <c r="GN12" s="31"/>
      <c r="GO12" s="31"/>
      <c r="GP12" s="31"/>
      <c r="GQ12" s="31"/>
      <c r="GR12" s="31"/>
      <c r="GS12" s="31"/>
      <c r="GT12" s="31"/>
      <c r="GU12" s="31"/>
      <c r="GV12" s="31"/>
      <c r="GW12" s="31"/>
      <c r="GX12" s="31"/>
      <c r="GY12" s="31"/>
      <c r="GZ12" s="31"/>
      <c r="HA12" s="31"/>
      <c r="HB12" s="31"/>
      <c r="HC12" s="31"/>
    </row>
    <row r="13" spans="1:211" s="3" customFormat="1" ht="30" customHeight="1" thickBot="1" x14ac:dyDescent="0.3">
      <c r="A13" s="45"/>
      <c r="B13" s="61" t="s">
        <v>39</v>
      </c>
      <c r="C13" s="53"/>
      <c r="D13" s="17">
        <v>1</v>
      </c>
      <c r="E13" s="70">
        <f>F12+1</f>
        <v>45955</v>
      </c>
      <c r="F13" s="70">
        <f>E13+10</f>
        <v>45965</v>
      </c>
      <c r="G13" s="14"/>
      <c r="H13" s="14">
        <f t="shared" si="164"/>
        <v>11</v>
      </c>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c r="BM13" s="31"/>
      <c r="BN13" s="31"/>
      <c r="BO13" s="31"/>
      <c r="BP13" s="31"/>
      <c r="BQ13" s="31"/>
      <c r="BR13" s="31"/>
      <c r="BS13" s="31"/>
      <c r="BT13" s="31"/>
      <c r="BU13" s="31"/>
      <c r="BV13" s="31"/>
      <c r="BW13" s="31"/>
      <c r="BX13" s="31"/>
      <c r="BY13" s="31"/>
      <c r="BZ13" s="31"/>
      <c r="CA13" s="31"/>
      <c r="CB13" s="31"/>
      <c r="CC13" s="31"/>
      <c r="CD13" s="31"/>
      <c r="CE13" s="31"/>
      <c r="CF13" s="31"/>
      <c r="CG13" s="31"/>
      <c r="CH13" s="31"/>
      <c r="CI13" s="31"/>
      <c r="CJ13" s="31"/>
      <c r="CK13" s="31"/>
      <c r="CL13" s="31"/>
      <c r="CM13" s="31"/>
      <c r="CN13" s="31"/>
      <c r="CO13" s="31"/>
      <c r="CP13" s="31"/>
      <c r="CQ13" s="31"/>
      <c r="CR13" s="31"/>
      <c r="CS13" s="31"/>
      <c r="CT13" s="31"/>
      <c r="CU13" s="31"/>
      <c r="CV13" s="31"/>
      <c r="CW13" s="31"/>
      <c r="CX13" s="31"/>
      <c r="CY13" s="31"/>
      <c r="CZ13" s="31"/>
      <c r="DA13" s="31"/>
      <c r="DB13" s="31"/>
      <c r="DC13" s="31"/>
      <c r="DD13" s="31"/>
      <c r="DE13" s="31"/>
      <c r="DF13" s="31"/>
      <c r="DG13" s="31"/>
      <c r="DH13" s="31"/>
      <c r="DI13" s="31"/>
      <c r="DJ13" s="31"/>
      <c r="DK13" s="31"/>
      <c r="DL13" s="31"/>
      <c r="DM13" s="31"/>
      <c r="DN13" s="31"/>
      <c r="DO13" s="31"/>
      <c r="DP13" s="31"/>
      <c r="DQ13" s="31"/>
      <c r="DR13" s="31"/>
      <c r="DS13" s="31"/>
      <c r="DT13" s="31"/>
      <c r="DU13" s="31"/>
      <c r="DV13" s="31"/>
      <c r="DW13" s="31"/>
      <c r="DX13" s="31"/>
      <c r="DY13" s="31"/>
      <c r="DZ13" s="31"/>
      <c r="EA13" s="31"/>
      <c r="EB13" s="31"/>
      <c r="EC13" s="31"/>
      <c r="ED13" s="31"/>
      <c r="EE13" s="31"/>
      <c r="EF13" s="31"/>
      <c r="EG13" s="31"/>
      <c r="EH13" s="31"/>
      <c r="EI13" s="31"/>
      <c r="EJ13" s="31"/>
      <c r="EK13" s="31"/>
      <c r="EL13" s="31"/>
      <c r="EM13" s="31"/>
      <c r="EN13" s="31"/>
      <c r="EO13" s="31"/>
      <c r="EP13" s="31"/>
      <c r="EQ13" s="31"/>
      <c r="ER13" s="31"/>
      <c r="ES13" s="31"/>
      <c r="ET13" s="31"/>
      <c r="EU13" s="31"/>
      <c r="EV13" s="31"/>
      <c r="EW13" s="31"/>
      <c r="EX13" s="31"/>
      <c r="EY13" s="31"/>
      <c r="EZ13" s="31"/>
      <c r="FA13" s="31"/>
      <c r="FB13" s="31"/>
      <c r="FC13" s="31"/>
      <c r="FD13" s="31"/>
      <c r="FE13" s="31"/>
      <c r="FF13" s="31"/>
      <c r="FG13" s="31"/>
      <c r="FH13" s="31"/>
      <c r="FI13" s="31"/>
      <c r="FJ13" s="31"/>
      <c r="FK13" s="31"/>
      <c r="FL13" s="31"/>
      <c r="FM13" s="31"/>
      <c r="FN13" s="31"/>
      <c r="FO13" s="31"/>
      <c r="FP13" s="31"/>
      <c r="FQ13" s="31"/>
      <c r="FR13" s="31"/>
      <c r="FS13" s="31"/>
      <c r="FT13" s="31"/>
      <c r="FU13" s="31"/>
      <c r="FV13" s="31"/>
      <c r="FW13" s="31"/>
      <c r="FX13" s="31"/>
      <c r="FY13" s="31"/>
      <c r="FZ13" s="31"/>
      <c r="GA13" s="31"/>
      <c r="GB13" s="31"/>
      <c r="GC13" s="31"/>
      <c r="GD13" s="31"/>
      <c r="GE13" s="31"/>
      <c r="GF13" s="31"/>
      <c r="GG13" s="31"/>
      <c r="GH13" s="31"/>
      <c r="GI13" s="31"/>
      <c r="GJ13" s="31"/>
      <c r="GK13" s="31"/>
      <c r="GL13" s="31"/>
      <c r="GM13" s="31"/>
      <c r="GN13" s="31"/>
      <c r="GO13" s="31"/>
      <c r="GP13" s="31"/>
      <c r="GQ13" s="31"/>
      <c r="GR13" s="31"/>
      <c r="GS13" s="31"/>
      <c r="GT13" s="31"/>
      <c r="GU13" s="31"/>
      <c r="GV13" s="31"/>
      <c r="GW13" s="31"/>
      <c r="GX13" s="31"/>
      <c r="GY13" s="31"/>
      <c r="GZ13" s="31"/>
      <c r="HA13" s="31"/>
      <c r="HB13" s="31"/>
      <c r="HC13" s="31"/>
    </row>
    <row r="14" spans="1:211" s="3" customFormat="1" ht="30" customHeight="1" thickBot="1" x14ac:dyDescent="0.3">
      <c r="A14" s="46" t="s">
        <v>10</v>
      </c>
      <c r="B14" s="18" t="s">
        <v>44</v>
      </c>
      <c r="C14" s="54"/>
      <c r="D14" s="19"/>
      <c r="E14" s="71"/>
      <c r="F14" s="72"/>
      <c r="G14" s="14"/>
      <c r="H14" s="14" t="str">
        <f t="shared" si="164"/>
        <v/>
      </c>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c r="BM14" s="31"/>
      <c r="BN14" s="31"/>
      <c r="BO14" s="31"/>
      <c r="BP14" s="31"/>
      <c r="BQ14" s="31"/>
      <c r="BR14" s="31"/>
      <c r="BS14" s="31"/>
      <c r="BT14" s="31"/>
      <c r="BU14" s="31"/>
      <c r="BV14" s="31"/>
      <c r="BW14" s="31"/>
      <c r="BX14" s="31"/>
      <c r="BY14" s="31"/>
      <c r="BZ14" s="31"/>
      <c r="CA14" s="31"/>
      <c r="CB14" s="31"/>
      <c r="CC14" s="31"/>
      <c r="CD14" s="31"/>
      <c r="CE14" s="31"/>
      <c r="CF14" s="31"/>
      <c r="CG14" s="31"/>
      <c r="CH14" s="31"/>
      <c r="CI14" s="31"/>
      <c r="CJ14" s="31"/>
      <c r="CK14" s="31"/>
      <c r="CL14" s="31"/>
      <c r="CM14" s="31"/>
      <c r="CN14" s="31"/>
      <c r="CO14" s="31"/>
      <c r="CP14" s="31"/>
      <c r="CQ14" s="31"/>
      <c r="CR14" s="31"/>
      <c r="CS14" s="31"/>
      <c r="CT14" s="31"/>
      <c r="CU14" s="31"/>
      <c r="CV14" s="31"/>
      <c r="CW14" s="31"/>
      <c r="CX14" s="31"/>
      <c r="CY14" s="31"/>
      <c r="CZ14" s="31"/>
      <c r="DA14" s="31"/>
      <c r="DB14" s="31"/>
      <c r="DC14" s="31"/>
      <c r="DD14" s="31"/>
      <c r="DE14" s="31"/>
      <c r="DF14" s="31"/>
      <c r="DG14" s="31"/>
      <c r="DH14" s="31"/>
      <c r="DI14" s="31"/>
      <c r="DJ14" s="31"/>
      <c r="DK14" s="31"/>
      <c r="DL14" s="31"/>
      <c r="DM14" s="31"/>
      <c r="DN14" s="31"/>
      <c r="DO14" s="31"/>
      <c r="DP14" s="31"/>
      <c r="DQ14" s="31"/>
      <c r="DR14" s="31"/>
      <c r="DS14" s="31"/>
      <c r="DT14" s="31"/>
      <c r="DU14" s="31"/>
      <c r="DV14" s="31"/>
      <c r="DW14" s="31"/>
      <c r="DX14" s="31"/>
      <c r="DY14" s="31"/>
      <c r="DZ14" s="31"/>
      <c r="EA14" s="31"/>
      <c r="EB14" s="31"/>
      <c r="EC14" s="31"/>
      <c r="ED14" s="31"/>
      <c r="EE14" s="31"/>
      <c r="EF14" s="31"/>
      <c r="EG14" s="31"/>
      <c r="EH14" s="31"/>
      <c r="EI14" s="31"/>
      <c r="EJ14" s="31"/>
      <c r="EK14" s="31"/>
      <c r="EL14" s="31"/>
      <c r="EM14" s="31"/>
      <c r="EN14" s="31"/>
      <c r="EO14" s="31"/>
      <c r="EP14" s="31"/>
      <c r="EQ14" s="31"/>
      <c r="ER14" s="31"/>
      <c r="ES14" s="31"/>
      <c r="ET14" s="31"/>
      <c r="EU14" s="31"/>
      <c r="EV14" s="31"/>
      <c r="EW14" s="31"/>
      <c r="EX14" s="31"/>
      <c r="EY14" s="31"/>
      <c r="EZ14" s="31"/>
      <c r="FA14" s="31"/>
      <c r="FB14" s="31"/>
      <c r="FC14" s="31"/>
      <c r="FD14" s="31"/>
      <c r="FE14" s="31"/>
      <c r="FF14" s="31"/>
      <c r="FG14" s="31"/>
      <c r="FH14" s="31"/>
      <c r="FI14" s="31"/>
      <c r="FJ14" s="31"/>
      <c r="FK14" s="31"/>
      <c r="FL14" s="31"/>
      <c r="FM14" s="31"/>
      <c r="FN14" s="31"/>
      <c r="FO14" s="31"/>
      <c r="FP14" s="31"/>
      <c r="FQ14" s="31"/>
      <c r="FR14" s="31"/>
      <c r="FS14" s="31"/>
      <c r="FT14" s="31"/>
      <c r="FU14" s="31"/>
      <c r="FV14" s="31"/>
      <c r="FW14" s="31"/>
      <c r="FX14" s="31"/>
      <c r="FY14" s="31"/>
      <c r="FZ14" s="31"/>
      <c r="GA14" s="31"/>
      <c r="GB14" s="31"/>
      <c r="GC14" s="31"/>
      <c r="GD14" s="31"/>
      <c r="GE14" s="31"/>
      <c r="GF14" s="31"/>
      <c r="GG14" s="31"/>
      <c r="GH14" s="31"/>
      <c r="GI14" s="31"/>
      <c r="GJ14" s="31"/>
      <c r="GK14" s="31"/>
      <c r="GL14" s="31"/>
      <c r="GM14" s="31"/>
      <c r="GN14" s="31"/>
      <c r="GO14" s="31"/>
      <c r="GP14" s="31"/>
      <c r="GQ14" s="31"/>
      <c r="GR14" s="31"/>
      <c r="GS14" s="31"/>
      <c r="GT14" s="31"/>
      <c r="GU14" s="31"/>
      <c r="GV14" s="31"/>
      <c r="GW14" s="31"/>
      <c r="GX14" s="31"/>
      <c r="GY14" s="31"/>
      <c r="GZ14" s="31"/>
      <c r="HA14" s="31"/>
      <c r="HB14" s="31"/>
      <c r="HC14" s="31"/>
    </row>
    <row r="15" spans="1:211" s="3" customFormat="1" ht="30" customHeight="1" thickBot="1" x14ac:dyDescent="0.3">
      <c r="A15" s="46"/>
      <c r="B15" s="62" t="s">
        <v>50</v>
      </c>
      <c r="C15" s="55"/>
      <c r="D15" s="20">
        <v>1</v>
      </c>
      <c r="E15" s="73">
        <f>F13+14</f>
        <v>45979</v>
      </c>
      <c r="F15" s="73">
        <f>E15+1</f>
        <v>45980</v>
      </c>
      <c r="G15" s="14"/>
      <c r="H15" s="14">
        <f t="shared" si="164"/>
        <v>2</v>
      </c>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c r="BM15" s="31"/>
      <c r="BN15" s="31"/>
      <c r="BO15" s="31"/>
      <c r="BP15" s="31"/>
      <c r="BQ15" s="31"/>
      <c r="BR15" s="31"/>
      <c r="BS15" s="31"/>
      <c r="BT15" s="31"/>
      <c r="BU15" s="31"/>
      <c r="BV15" s="31"/>
      <c r="BW15" s="31"/>
      <c r="BX15" s="31"/>
      <c r="BY15" s="31"/>
      <c r="BZ15" s="31"/>
      <c r="CA15" s="31"/>
      <c r="CB15" s="31"/>
      <c r="CC15" s="31"/>
      <c r="CD15" s="31"/>
      <c r="CE15" s="31"/>
      <c r="CF15" s="31"/>
      <c r="CG15" s="31"/>
      <c r="CH15" s="31"/>
      <c r="CI15" s="31"/>
      <c r="CJ15" s="31"/>
      <c r="CK15" s="31"/>
      <c r="CL15" s="31"/>
      <c r="CM15" s="31"/>
      <c r="CN15" s="31"/>
      <c r="CO15" s="31"/>
      <c r="CP15" s="31"/>
      <c r="CQ15" s="31"/>
      <c r="CR15" s="31"/>
      <c r="CS15" s="31"/>
      <c r="CT15" s="31"/>
      <c r="CU15" s="31"/>
      <c r="CV15" s="31"/>
      <c r="CW15" s="31"/>
      <c r="CX15" s="31"/>
      <c r="CY15" s="31"/>
      <c r="CZ15" s="31"/>
      <c r="DA15" s="31"/>
      <c r="DB15" s="31"/>
      <c r="DC15" s="31"/>
      <c r="DD15" s="31"/>
      <c r="DE15" s="31"/>
      <c r="DF15" s="31"/>
      <c r="DG15" s="31"/>
      <c r="DH15" s="31"/>
      <c r="DI15" s="31"/>
      <c r="DJ15" s="31"/>
      <c r="DK15" s="31"/>
      <c r="DL15" s="31"/>
      <c r="DM15" s="31"/>
      <c r="DN15" s="31"/>
      <c r="DO15" s="31"/>
      <c r="DP15" s="31"/>
      <c r="DQ15" s="31"/>
      <c r="DR15" s="31"/>
      <c r="DS15" s="31"/>
      <c r="DT15" s="31"/>
      <c r="DU15" s="31"/>
      <c r="DV15" s="31"/>
      <c r="DW15" s="31"/>
      <c r="DX15" s="31"/>
      <c r="DY15" s="31"/>
      <c r="DZ15" s="31"/>
      <c r="EA15" s="31"/>
      <c r="EB15" s="31"/>
      <c r="EC15" s="31"/>
      <c r="ED15" s="31"/>
      <c r="EE15" s="31"/>
      <c r="EF15" s="31"/>
      <c r="EG15" s="31"/>
      <c r="EH15" s="31"/>
      <c r="EI15" s="31"/>
      <c r="EJ15" s="31"/>
      <c r="EK15" s="31"/>
      <c r="EL15" s="31"/>
      <c r="EM15" s="31"/>
      <c r="EN15" s="31"/>
      <c r="EO15" s="31"/>
      <c r="EP15" s="31"/>
      <c r="EQ15" s="31"/>
      <c r="ER15" s="31"/>
      <c r="ES15" s="31"/>
      <c r="ET15" s="31"/>
      <c r="EU15" s="31"/>
      <c r="EV15" s="31"/>
      <c r="EW15" s="31"/>
      <c r="EX15" s="31"/>
      <c r="EY15" s="31"/>
      <c r="EZ15" s="31"/>
      <c r="FA15" s="31"/>
      <c r="FB15" s="31"/>
      <c r="FC15" s="31"/>
      <c r="FD15" s="31"/>
      <c r="FE15" s="31"/>
      <c r="FF15" s="31"/>
      <c r="FG15" s="31"/>
      <c r="FH15" s="31"/>
      <c r="FI15" s="31"/>
      <c r="FJ15" s="31"/>
      <c r="FK15" s="31"/>
      <c r="FL15" s="31"/>
      <c r="FM15" s="31"/>
      <c r="FN15" s="31"/>
      <c r="FO15" s="31"/>
      <c r="FP15" s="31"/>
      <c r="FQ15" s="31"/>
      <c r="FR15" s="31"/>
      <c r="FS15" s="31"/>
      <c r="FT15" s="31"/>
      <c r="FU15" s="31"/>
      <c r="FV15" s="31"/>
      <c r="FW15" s="31"/>
      <c r="FX15" s="31"/>
      <c r="FY15" s="31"/>
      <c r="FZ15" s="31"/>
      <c r="GA15" s="31"/>
      <c r="GB15" s="31"/>
      <c r="GC15" s="31"/>
      <c r="GD15" s="31"/>
      <c r="GE15" s="31"/>
      <c r="GF15" s="31"/>
      <c r="GG15" s="31"/>
      <c r="GH15" s="31"/>
      <c r="GI15" s="31"/>
      <c r="GJ15" s="31"/>
      <c r="GK15" s="31"/>
      <c r="GL15" s="31"/>
      <c r="GM15" s="31"/>
      <c r="GN15" s="31"/>
      <c r="GO15" s="31"/>
      <c r="GP15" s="31"/>
      <c r="GQ15" s="31"/>
      <c r="GR15" s="31"/>
      <c r="GS15" s="31"/>
      <c r="GT15" s="31"/>
      <c r="GU15" s="31"/>
      <c r="GV15" s="31"/>
      <c r="GW15" s="31"/>
      <c r="GX15" s="31"/>
      <c r="GY15" s="31"/>
      <c r="GZ15" s="31"/>
      <c r="HA15" s="31"/>
      <c r="HB15" s="31"/>
      <c r="HC15" s="31"/>
    </row>
    <row r="16" spans="1:211" s="3" customFormat="1" ht="30" customHeight="1" thickBot="1" x14ac:dyDescent="0.3">
      <c r="A16" s="45"/>
      <c r="B16" s="62" t="s">
        <v>51</v>
      </c>
      <c r="C16" s="55"/>
      <c r="D16" s="20">
        <v>1</v>
      </c>
      <c r="E16" s="73">
        <f>F15+14</f>
        <v>45994</v>
      </c>
      <c r="F16" s="73">
        <f>E16+1</f>
        <v>45995</v>
      </c>
      <c r="G16" s="14"/>
      <c r="H16" s="14">
        <f t="shared" si="164"/>
        <v>2</v>
      </c>
      <c r="I16" s="31"/>
      <c r="J16" s="31"/>
      <c r="K16" s="31"/>
      <c r="L16" s="31"/>
      <c r="M16" s="31"/>
      <c r="N16" s="31"/>
      <c r="O16" s="31"/>
      <c r="P16" s="31"/>
      <c r="Q16" s="31"/>
      <c r="R16" s="31"/>
      <c r="S16" s="31"/>
      <c r="T16" s="31"/>
      <c r="U16" s="32"/>
      <c r="V16" s="32"/>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c r="BM16" s="31"/>
      <c r="BN16" s="31"/>
      <c r="BO16" s="31"/>
      <c r="BP16" s="31"/>
      <c r="BQ16" s="31"/>
      <c r="BR16" s="31"/>
      <c r="BS16" s="31"/>
      <c r="BT16" s="31"/>
      <c r="BU16" s="31"/>
      <c r="BV16" s="31"/>
      <c r="BW16" s="31"/>
      <c r="BX16" s="31"/>
      <c r="BY16" s="31"/>
      <c r="BZ16" s="31"/>
      <c r="CA16" s="31"/>
      <c r="CB16" s="31"/>
      <c r="CC16" s="31"/>
      <c r="CD16" s="31"/>
      <c r="CE16" s="31"/>
      <c r="CF16" s="31"/>
      <c r="CG16" s="31"/>
      <c r="CH16" s="31"/>
      <c r="CI16" s="31"/>
      <c r="CJ16" s="31"/>
      <c r="CK16" s="31"/>
      <c r="CL16" s="31"/>
      <c r="CM16" s="31"/>
      <c r="CN16" s="31"/>
      <c r="CO16" s="31"/>
      <c r="CP16" s="31"/>
      <c r="CQ16" s="31"/>
      <c r="CR16" s="31"/>
      <c r="CS16" s="31"/>
      <c r="CT16" s="31"/>
      <c r="CU16" s="31"/>
      <c r="CV16" s="31"/>
      <c r="CW16" s="31"/>
      <c r="CX16" s="31"/>
      <c r="CY16" s="31"/>
      <c r="CZ16" s="31"/>
      <c r="DA16" s="31"/>
      <c r="DB16" s="31"/>
      <c r="DC16" s="31"/>
      <c r="DD16" s="31"/>
      <c r="DE16" s="31"/>
      <c r="DF16" s="31"/>
      <c r="DG16" s="31"/>
      <c r="DH16" s="31"/>
      <c r="DI16" s="31"/>
      <c r="DJ16" s="31"/>
      <c r="DK16" s="31"/>
      <c r="DL16" s="31"/>
      <c r="DM16" s="31"/>
      <c r="DN16" s="31"/>
      <c r="DO16" s="31"/>
      <c r="DP16" s="31"/>
      <c r="DQ16" s="31"/>
      <c r="DR16" s="31"/>
      <c r="DS16" s="31"/>
      <c r="DT16" s="31"/>
      <c r="DU16" s="31"/>
      <c r="DV16" s="31"/>
      <c r="DW16" s="31"/>
      <c r="DX16" s="31"/>
      <c r="DY16" s="31"/>
      <c r="DZ16" s="31"/>
      <c r="EA16" s="31"/>
      <c r="EB16" s="31"/>
      <c r="EC16" s="31"/>
      <c r="ED16" s="31"/>
      <c r="EE16" s="31"/>
      <c r="EF16" s="31"/>
      <c r="EG16" s="31"/>
      <c r="EH16" s="31"/>
      <c r="EI16" s="31"/>
      <c r="EJ16" s="31"/>
      <c r="EK16" s="31"/>
      <c r="EL16" s="31"/>
      <c r="EM16" s="31"/>
      <c r="EN16" s="31"/>
      <c r="EO16" s="31"/>
      <c r="EP16" s="31"/>
      <c r="EQ16" s="31"/>
      <c r="ER16" s="31"/>
      <c r="ES16" s="31"/>
      <c r="ET16" s="31"/>
      <c r="EU16" s="31"/>
      <c r="EV16" s="31"/>
      <c r="EW16" s="31"/>
      <c r="EX16" s="31"/>
      <c r="EY16" s="31"/>
      <c r="EZ16" s="31"/>
      <c r="FA16" s="31"/>
      <c r="FB16" s="31"/>
      <c r="FC16" s="31"/>
      <c r="FD16" s="31"/>
      <c r="FE16" s="31"/>
      <c r="FF16" s="31"/>
      <c r="FG16" s="31"/>
      <c r="FH16" s="31"/>
      <c r="FI16" s="31"/>
      <c r="FJ16" s="31"/>
      <c r="FK16" s="31"/>
      <c r="FL16" s="31"/>
      <c r="FM16" s="31"/>
      <c r="FN16" s="31"/>
      <c r="FO16" s="31"/>
      <c r="FP16" s="31"/>
      <c r="FQ16" s="31"/>
      <c r="FR16" s="31"/>
      <c r="FS16" s="31"/>
      <c r="FT16" s="31"/>
      <c r="FU16" s="31"/>
      <c r="FV16" s="31"/>
      <c r="FW16" s="31"/>
      <c r="FX16" s="31"/>
      <c r="FY16" s="31"/>
      <c r="FZ16" s="31"/>
      <c r="GA16" s="31"/>
      <c r="GB16" s="31"/>
      <c r="GC16" s="31"/>
      <c r="GD16" s="31"/>
      <c r="GE16" s="31"/>
      <c r="GF16" s="31"/>
      <c r="GG16" s="31"/>
      <c r="GH16" s="31"/>
      <c r="GI16" s="31"/>
      <c r="GJ16" s="31"/>
      <c r="GK16" s="31"/>
      <c r="GL16" s="31"/>
      <c r="GM16" s="31"/>
      <c r="GN16" s="31"/>
      <c r="GO16" s="31"/>
      <c r="GP16" s="31"/>
      <c r="GQ16" s="31"/>
      <c r="GR16" s="31"/>
      <c r="GS16" s="31"/>
      <c r="GT16" s="31"/>
      <c r="GU16" s="31"/>
      <c r="GV16" s="31"/>
      <c r="GW16" s="31"/>
      <c r="GX16" s="31"/>
      <c r="GY16" s="31"/>
      <c r="GZ16" s="31"/>
      <c r="HA16" s="31"/>
      <c r="HB16" s="31"/>
      <c r="HC16" s="31"/>
    </row>
    <row r="17" spans="1:211" s="3" customFormat="1" ht="30" customHeight="1" thickBot="1" x14ac:dyDescent="0.3">
      <c r="A17" s="45"/>
      <c r="B17" s="62" t="s">
        <v>45</v>
      </c>
      <c r="C17" s="55"/>
      <c r="D17" s="20">
        <v>1</v>
      </c>
      <c r="E17" s="73">
        <f>F16+7</f>
        <v>46002</v>
      </c>
      <c r="F17" s="73">
        <f>E17+3</f>
        <v>46005</v>
      </c>
      <c r="G17" s="14"/>
      <c r="H17" s="14">
        <f t="shared" si="164"/>
        <v>4</v>
      </c>
      <c r="I17" s="31"/>
      <c r="J17" s="31"/>
      <c r="K17" s="31"/>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c r="BM17" s="31"/>
      <c r="BN17" s="31"/>
      <c r="BO17" s="31"/>
      <c r="BP17" s="31"/>
      <c r="BQ17" s="31"/>
      <c r="BR17" s="31"/>
      <c r="BS17" s="31"/>
      <c r="BT17" s="31"/>
      <c r="BU17" s="31"/>
      <c r="BV17" s="31"/>
      <c r="BW17" s="31"/>
      <c r="BX17" s="31"/>
      <c r="BY17" s="31"/>
      <c r="BZ17" s="31"/>
      <c r="CA17" s="31"/>
      <c r="CB17" s="31"/>
      <c r="CC17" s="31"/>
      <c r="CD17" s="31"/>
      <c r="CE17" s="31"/>
      <c r="CF17" s="31"/>
      <c r="CG17" s="31"/>
      <c r="CH17" s="31"/>
      <c r="CI17" s="31"/>
      <c r="CJ17" s="31"/>
      <c r="CK17" s="31"/>
      <c r="CL17" s="31"/>
      <c r="CM17" s="31"/>
      <c r="CN17" s="31"/>
      <c r="CO17" s="31"/>
      <c r="CP17" s="31"/>
      <c r="CQ17" s="31"/>
      <c r="CR17" s="31"/>
      <c r="CS17" s="31"/>
      <c r="CT17" s="31"/>
      <c r="CU17" s="31"/>
      <c r="CV17" s="31"/>
      <c r="CW17" s="31"/>
      <c r="CX17" s="31"/>
      <c r="CY17" s="31"/>
      <c r="CZ17" s="31"/>
      <c r="DA17" s="31"/>
      <c r="DB17" s="31"/>
      <c r="DC17" s="31"/>
      <c r="DD17" s="31"/>
      <c r="DE17" s="31"/>
      <c r="DF17" s="31"/>
      <c r="DG17" s="31"/>
      <c r="DH17" s="31"/>
      <c r="DI17" s="31"/>
      <c r="DJ17" s="31"/>
      <c r="DK17" s="31"/>
      <c r="DL17" s="31"/>
      <c r="DM17" s="31"/>
      <c r="DN17" s="31"/>
      <c r="DO17" s="31"/>
      <c r="DP17" s="31"/>
      <c r="DQ17" s="31"/>
      <c r="DR17" s="31"/>
      <c r="DS17" s="31"/>
      <c r="DT17" s="31"/>
      <c r="DU17" s="31"/>
      <c r="DV17" s="31"/>
      <c r="DW17" s="31"/>
      <c r="DX17" s="31"/>
      <c r="DY17" s="31"/>
      <c r="DZ17" s="31"/>
      <c r="EA17" s="31"/>
      <c r="EB17" s="31"/>
      <c r="EC17" s="31"/>
      <c r="ED17" s="31"/>
      <c r="EE17" s="31"/>
      <c r="EF17" s="31"/>
      <c r="EG17" s="31"/>
      <c r="EH17" s="31"/>
      <c r="EI17" s="31"/>
      <c r="EJ17" s="31"/>
      <c r="EK17" s="31"/>
      <c r="EL17" s="31"/>
      <c r="EM17" s="31"/>
      <c r="EN17" s="31"/>
      <c r="EO17" s="31"/>
      <c r="EP17" s="31"/>
      <c r="EQ17" s="31"/>
      <c r="ER17" s="31"/>
      <c r="ES17" s="31"/>
      <c r="ET17" s="31"/>
      <c r="EU17" s="31"/>
      <c r="EV17" s="31"/>
      <c r="EW17" s="31"/>
      <c r="EX17" s="31"/>
      <c r="EY17" s="31"/>
      <c r="EZ17" s="31"/>
      <c r="FA17" s="31"/>
      <c r="FB17" s="31"/>
      <c r="FC17" s="31"/>
      <c r="FD17" s="31"/>
      <c r="FE17" s="31"/>
      <c r="FF17" s="31"/>
      <c r="FG17" s="31"/>
      <c r="FH17" s="31"/>
      <c r="FI17" s="31"/>
      <c r="FJ17" s="31"/>
      <c r="FK17" s="31"/>
      <c r="FL17" s="31"/>
      <c r="FM17" s="31"/>
      <c r="FN17" s="31"/>
      <c r="FO17" s="31"/>
      <c r="FP17" s="31"/>
      <c r="FQ17" s="31"/>
      <c r="FR17" s="31"/>
      <c r="FS17" s="31"/>
      <c r="FT17" s="31"/>
      <c r="FU17" s="31"/>
      <c r="FV17" s="31"/>
      <c r="FW17" s="31"/>
      <c r="FX17" s="31"/>
      <c r="FY17" s="31"/>
      <c r="FZ17" s="31"/>
      <c r="GA17" s="31"/>
      <c r="GB17" s="31"/>
      <c r="GC17" s="31"/>
      <c r="GD17" s="31"/>
      <c r="GE17" s="31"/>
      <c r="GF17" s="31"/>
      <c r="GG17" s="31"/>
      <c r="GH17" s="31"/>
      <c r="GI17" s="31"/>
      <c r="GJ17" s="31"/>
      <c r="GK17" s="31"/>
      <c r="GL17" s="31"/>
      <c r="GM17" s="31"/>
      <c r="GN17" s="31"/>
      <c r="GO17" s="31"/>
      <c r="GP17" s="31"/>
      <c r="GQ17" s="31"/>
      <c r="GR17" s="31"/>
      <c r="GS17" s="31"/>
      <c r="GT17" s="31"/>
      <c r="GU17" s="31"/>
      <c r="GV17" s="31"/>
      <c r="GW17" s="31"/>
      <c r="GX17" s="31"/>
      <c r="GY17" s="31"/>
      <c r="GZ17" s="31"/>
      <c r="HA17" s="31"/>
      <c r="HB17" s="31"/>
      <c r="HC17" s="31"/>
    </row>
    <row r="18" spans="1:211" s="3" customFormat="1" ht="30" customHeight="1" thickBot="1" x14ac:dyDescent="0.3">
      <c r="A18" s="45"/>
      <c r="B18" s="62" t="s">
        <v>47</v>
      </c>
      <c r="C18" s="55"/>
      <c r="D18" s="20">
        <v>1</v>
      </c>
      <c r="E18" s="73">
        <f>F17+1</f>
        <v>46006</v>
      </c>
      <c r="F18" s="73">
        <f>E18+3</f>
        <v>46009</v>
      </c>
      <c r="G18" s="14"/>
      <c r="H18" s="14">
        <f t="shared" si="164"/>
        <v>4</v>
      </c>
      <c r="I18" s="31"/>
      <c r="J18" s="31"/>
      <c r="K18" s="31"/>
      <c r="L18" s="31"/>
      <c r="M18" s="31"/>
      <c r="N18" s="31"/>
      <c r="O18" s="31"/>
      <c r="P18" s="31"/>
      <c r="Q18" s="31"/>
      <c r="R18" s="31"/>
      <c r="S18" s="31"/>
      <c r="T18" s="31"/>
      <c r="U18" s="31"/>
      <c r="V18" s="31"/>
      <c r="W18" s="31"/>
      <c r="X18" s="31"/>
      <c r="Y18" s="32"/>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c r="BM18" s="31"/>
      <c r="BN18" s="31"/>
      <c r="BO18" s="31"/>
      <c r="BP18" s="31"/>
      <c r="BQ18" s="31"/>
      <c r="BR18" s="31"/>
      <c r="BS18" s="31"/>
      <c r="BT18" s="31"/>
      <c r="BU18" s="31"/>
      <c r="BV18" s="31"/>
      <c r="BW18" s="31"/>
      <c r="BX18" s="31"/>
      <c r="BY18" s="31"/>
      <c r="BZ18" s="31"/>
      <c r="CA18" s="31"/>
      <c r="CB18" s="31"/>
      <c r="CC18" s="31"/>
      <c r="CD18" s="31"/>
      <c r="CE18" s="31"/>
      <c r="CF18" s="31"/>
      <c r="CG18" s="31"/>
      <c r="CH18" s="31"/>
      <c r="CI18" s="31"/>
      <c r="CJ18" s="31"/>
      <c r="CK18" s="31"/>
      <c r="CL18" s="31"/>
      <c r="CM18" s="31"/>
      <c r="CN18" s="31"/>
      <c r="CO18" s="31"/>
      <c r="CP18" s="31"/>
      <c r="CQ18" s="31"/>
      <c r="CR18" s="31"/>
      <c r="CS18" s="31"/>
      <c r="CT18" s="31"/>
      <c r="CU18" s="31"/>
      <c r="CV18" s="31"/>
      <c r="CW18" s="31"/>
      <c r="CX18" s="31"/>
      <c r="CY18" s="31"/>
      <c r="CZ18" s="31"/>
      <c r="DA18" s="31"/>
      <c r="DB18" s="31"/>
      <c r="DC18" s="31"/>
      <c r="DD18" s="31"/>
      <c r="DE18" s="31"/>
      <c r="DF18" s="31"/>
      <c r="DG18" s="31"/>
      <c r="DH18" s="31"/>
      <c r="DI18" s="31"/>
      <c r="DJ18" s="31"/>
      <c r="DK18" s="31"/>
      <c r="DL18" s="31"/>
      <c r="DM18" s="31"/>
      <c r="DN18" s="31"/>
      <c r="DO18" s="31"/>
      <c r="DP18" s="31"/>
      <c r="DQ18" s="31"/>
      <c r="DR18" s="31"/>
      <c r="DS18" s="31"/>
      <c r="DT18" s="31"/>
      <c r="DU18" s="31"/>
      <c r="DV18" s="31"/>
      <c r="DW18" s="31"/>
      <c r="DX18" s="31"/>
      <c r="DY18" s="31"/>
      <c r="DZ18" s="31"/>
      <c r="EA18" s="31"/>
      <c r="EB18" s="31"/>
      <c r="EC18" s="31"/>
      <c r="ED18" s="31"/>
      <c r="EE18" s="31"/>
      <c r="EF18" s="31"/>
      <c r="EG18" s="31"/>
      <c r="EH18" s="31"/>
      <c r="EI18" s="31"/>
      <c r="EJ18" s="31"/>
      <c r="EK18" s="31"/>
      <c r="EL18" s="31"/>
      <c r="EM18" s="31"/>
      <c r="EN18" s="31"/>
      <c r="EO18" s="31"/>
      <c r="EP18" s="31"/>
      <c r="EQ18" s="31"/>
      <c r="ER18" s="31"/>
      <c r="ES18" s="31"/>
      <c r="ET18" s="31"/>
      <c r="EU18" s="31"/>
      <c r="EV18" s="31"/>
      <c r="EW18" s="31"/>
      <c r="EX18" s="31"/>
      <c r="EY18" s="31"/>
      <c r="EZ18" s="31"/>
      <c r="FA18" s="31"/>
      <c r="FB18" s="31"/>
      <c r="FC18" s="31"/>
      <c r="FD18" s="31"/>
      <c r="FE18" s="31"/>
      <c r="FF18" s="31"/>
      <c r="FG18" s="31"/>
      <c r="FH18" s="31"/>
      <c r="FI18" s="31"/>
      <c r="FJ18" s="31"/>
      <c r="FK18" s="31"/>
      <c r="FL18" s="31"/>
      <c r="FM18" s="31"/>
      <c r="FN18" s="31"/>
      <c r="FO18" s="31"/>
      <c r="FP18" s="31"/>
      <c r="FQ18" s="31"/>
      <c r="FR18" s="31"/>
      <c r="FS18" s="31"/>
      <c r="FT18" s="31"/>
      <c r="FU18" s="31"/>
      <c r="FV18" s="31"/>
      <c r="FW18" s="31"/>
      <c r="FX18" s="31"/>
      <c r="FY18" s="31"/>
      <c r="FZ18" s="31"/>
      <c r="GA18" s="31"/>
      <c r="GB18" s="31"/>
      <c r="GC18" s="31"/>
      <c r="GD18" s="31"/>
      <c r="GE18" s="31"/>
      <c r="GF18" s="31"/>
      <c r="GG18" s="31"/>
      <c r="GH18" s="31"/>
      <c r="GI18" s="31"/>
      <c r="GJ18" s="31"/>
      <c r="GK18" s="31"/>
      <c r="GL18" s="31"/>
      <c r="GM18" s="31"/>
      <c r="GN18" s="31"/>
      <c r="GO18" s="31"/>
      <c r="GP18" s="31"/>
      <c r="GQ18" s="31"/>
      <c r="GR18" s="31"/>
      <c r="GS18" s="31"/>
      <c r="GT18" s="31"/>
      <c r="GU18" s="31"/>
      <c r="GV18" s="31"/>
      <c r="GW18" s="31"/>
      <c r="GX18" s="31"/>
      <c r="GY18" s="31"/>
      <c r="GZ18" s="31"/>
      <c r="HA18" s="31"/>
      <c r="HB18" s="31"/>
      <c r="HC18" s="31"/>
    </row>
    <row r="19" spans="1:211" s="3" customFormat="1" ht="30" customHeight="1" thickBot="1" x14ac:dyDescent="0.3">
      <c r="A19" s="45"/>
      <c r="B19" s="62" t="s">
        <v>46</v>
      </c>
      <c r="C19" s="55"/>
      <c r="D19" s="20">
        <v>1</v>
      </c>
      <c r="E19" s="73">
        <f>F18+1</f>
        <v>46010</v>
      </c>
      <c r="F19" s="73">
        <f>E19+7</f>
        <v>46017</v>
      </c>
      <c r="G19" s="14"/>
      <c r="H19" s="14"/>
      <c r="I19" s="31"/>
      <c r="J19" s="31"/>
      <c r="K19" s="31"/>
      <c r="L19" s="31"/>
      <c r="M19" s="31"/>
      <c r="N19" s="31"/>
      <c r="O19" s="31"/>
      <c r="P19" s="31"/>
      <c r="Q19" s="31"/>
      <c r="R19" s="31"/>
      <c r="S19" s="31"/>
      <c r="T19" s="31"/>
      <c r="U19" s="31"/>
      <c r="V19" s="31"/>
      <c r="W19" s="31"/>
      <c r="X19" s="31"/>
      <c r="Y19" s="32"/>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c r="BM19" s="31"/>
      <c r="BN19" s="31"/>
      <c r="BO19" s="31"/>
      <c r="BP19" s="31"/>
      <c r="BQ19" s="31"/>
      <c r="BR19" s="31"/>
      <c r="BS19" s="31"/>
      <c r="BT19" s="31"/>
      <c r="BU19" s="31"/>
      <c r="BV19" s="31"/>
      <c r="BW19" s="31"/>
      <c r="BX19" s="31"/>
      <c r="BY19" s="31"/>
      <c r="BZ19" s="31"/>
      <c r="CA19" s="31"/>
      <c r="CB19" s="31"/>
      <c r="CC19" s="31"/>
      <c r="CD19" s="31"/>
      <c r="CE19" s="31"/>
      <c r="CF19" s="31"/>
      <c r="CG19" s="31"/>
      <c r="CH19" s="31"/>
      <c r="CI19" s="31"/>
      <c r="CJ19" s="31"/>
      <c r="CK19" s="31"/>
      <c r="CL19" s="31"/>
      <c r="CM19" s="31"/>
      <c r="CN19" s="31"/>
      <c r="CO19" s="31"/>
      <c r="CP19" s="31"/>
      <c r="CQ19" s="31"/>
      <c r="CR19" s="31"/>
      <c r="CS19" s="31"/>
      <c r="CT19" s="31"/>
      <c r="CU19" s="31"/>
      <c r="CV19" s="31"/>
      <c r="CW19" s="31"/>
      <c r="CX19" s="31"/>
      <c r="CY19" s="31"/>
      <c r="CZ19" s="31"/>
      <c r="DA19" s="31"/>
      <c r="DB19" s="31"/>
      <c r="DC19" s="31"/>
      <c r="DD19" s="31"/>
      <c r="DE19" s="31"/>
      <c r="DF19" s="31"/>
      <c r="DG19" s="31"/>
      <c r="DH19" s="31"/>
      <c r="DI19" s="31"/>
      <c r="DJ19" s="31"/>
      <c r="DK19" s="31"/>
      <c r="DL19" s="31"/>
      <c r="DM19" s="31"/>
      <c r="DN19" s="31"/>
      <c r="DO19" s="31"/>
      <c r="DP19" s="31"/>
      <c r="DQ19" s="31"/>
      <c r="DR19" s="31"/>
      <c r="DS19" s="31"/>
      <c r="DT19" s="31"/>
      <c r="DU19" s="31"/>
      <c r="DV19" s="31"/>
      <c r="DW19" s="31"/>
      <c r="DX19" s="31"/>
      <c r="DY19" s="31"/>
      <c r="DZ19" s="31"/>
      <c r="EA19" s="31"/>
      <c r="EB19" s="31"/>
      <c r="EC19" s="31"/>
      <c r="ED19" s="31"/>
      <c r="EE19" s="31"/>
      <c r="EF19" s="31"/>
      <c r="EG19" s="31"/>
      <c r="EH19" s="31"/>
      <c r="EI19" s="31"/>
      <c r="EJ19" s="31"/>
      <c r="EK19" s="31"/>
      <c r="EL19" s="31"/>
      <c r="EM19" s="31"/>
      <c r="EN19" s="31"/>
      <c r="EO19" s="31"/>
      <c r="EP19" s="31"/>
      <c r="EQ19" s="31"/>
      <c r="ER19" s="31"/>
      <c r="ES19" s="31"/>
      <c r="ET19" s="31"/>
      <c r="EU19" s="31"/>
      <c r="EV19" s="31"/>
      <c r="EW19" s="31"/>
      <c r="EX19" s="31"/>
      <c r="EY19" s="31"/>
      <c r="EZ19" s="31"/>
      <c r="FA19" s="31"/>
      <c r="FB19" s="31"/>
      <c r="FC19" s="31"/>
      <c r="FD19" s="31"/>
      <c r="FE19" s="31"/>
      <c r="FF19" s="31"/>
      <c r="FG19" s="31"/>
      <c r="FH19" s="31"/>
      <c r="FI19" s="31"/>
      <c r="FJ19" s="31"/>
      <c r="FK19" s="31"/>
      <c r="FL19" s="31"/>
      <c r="FM19" s="31"/>
      <c r="FN19" s="31"/>
      <c r="FO19" s="31"/>
      <c r="FP19" s="31"/>
      <c r="FQ19" s="31"/>
      <c r="FR19" s="31"/>
      <c r="FS19" s="31"/>
      <c r="FT19" s="31"/>
      <c r="FU19" s="31"/>
      <c r="FV19" s="31"/>
      <c r="FW19" s="31"/>
      <c r="FX19" s="31"/>
      <c r="FY19" s="31"/>
      <c r="FZ19" s="31"/>
      <c r="GA19" s="31"/>
      <c r="GB19" s="31"/>
      <c r="GC19" s="31"/>
      <c r="GD19" s="31"/>
      <c r="GE19" s="31"/>
      <c r="GF19" s="31"/>
      <c r="GG19" s="31"/>
      <c r="GH19" s="31"/>
      <c r="GI19" s="31"/>
      <c r="GJ19" s="31"/>
      <c r="GK19" s="31"/>
      <c r="GL19" s="31"/>
      <c r="GM19" s="31"/>
      <c r="GN19" s="31"/>
      <c r="GO19" s="31"/>
      <c r="GP19" s="31"/>
      <c r="GQ19" s="31"/>
      <c r="GR19" s="31"/>
      <c r="GS19" s="31"/>
      <c r="GT19" s="31"/>
      <c r="GU19" s="31"/>
      <c r="GV19" s="31"/>
      <c r="GW19" s="31"/>
      <c r="GX19" s="31"/>
      <c r="GY19" s="31"/>
      <c r="GZ19" s="31"/>
      <c r="HA19" s="31"/>
      <c r="HB19" s="31"/>
      <c r="HC19" s="31"/>
    </row>
    <row r="20" spans="1:211" s="3" customFormat="1" ht="30" customHeight="1" thickBot="1" x14ac:dyDescent="0.3">
      <c r="A20" s="45"/>
      <c r="B20" s="62" t="s">
        <v>48</v>
      </c>
      <c r="C20" s="55"/>
      <c r="D20" s="20">
        <v>1</v>
      </c>
      <c r="E20" s="73">
        <f>F19+1</f>
        <v>46018</v>
      </c>
      <c r="F20" s="73">
        <f>E20+7</f>
        <v>46025</v>
      </c>
      <c r="G20" s="14"/>
      <c r="H20" s="14">
        <f t="shared" si="164"/>
        <v>8</v>
      </c>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c r="BM20" s="31"/>
      <c r="BN20" s="31"/>
      <c r="BO20" s="31"/>
      <c r="BP20" s="31"/>
      <c r="BQ20" s="31"/>
      <c r="BR20" s="31"/>
      <c r="BS20" s="31"/>
      <c r="BT20" s="31"/>
      <c r="BU20" s="31"/>
      <c r="BV20" s="31"/>
      <c r="BW20" s="31"/>
      <c r="BX20" s="31"/>
      <c r="BY20" s="31"/>
      <c r="BZ20" s="31"/>
      <c r="CA20" s="31"/>
      <c r="CB20" s="31"/>
      <c r="CC20" s="31"/>
      <c r="CD20" s="31"/>
      <c r="CE20" s="31"/>
      <c r="CF20" s="31"/>
      <c r="CG20" s="31"/>
      <c r="CH20" s="31"/>
      <c r="CI20" s="31"/>
      <c r="CJ20" s="31"/>
      <c r="CK20" s="31"/>
      <c r="CL20" s="31"/>
      <c r="CM20" s="31"/>
      <c r="CN20" s="31"/>
      <c r="CO20" s="31"/>
      <c r="CP20" s="31"/>
      <c r="CQ20" s="31"/>
      <c r="CR20" s="31"/>
      <c r="CS20" s="31"/>
      <c r="CT20" s="31"/>
      <c r="CU20" s="31"/>
      <c r="CV20" s="31"/>
      <c r="CW20" s="31"/>
      <c r="CX20" s="31"/>
      <c r="CY20" s="31"/>
      <c r="CZ20" s="31"/>
      <c r="DA20" s="31"/>
      <c r="DB20" s="31"/>
      <c r="DC20" s="31"/>
      <c r="DD20" s="31"/>
      <c r="DE20" s="31"/>
      <c r="DF20" s="31"/>
      <c r="DG20" s="31"/>
      <c r="DH20" s="31"/>
      <c r="DI20" s="31"/>
      <c r="DJ20" s="31"/>
      <c r="DK20" s="31"/>
      <c r="DL20" s="31"/>
      <c r="DM20" s="31"/>
      <c r="DN20" s="31"/>
      <c r="DO20" s="31"/>
      <c r="DP20" s="31"/>
      <c r="DQ20" s="31"/>
      <c r="DR20" s="31"/>
      <c r="DS20" s="31"/>
      <c r="DT20" s="31"/>
      <c r="DU20" s="31"/>
      <c r="DV20" s="31"/>
      <c r="DW20" s="31"/>
      <c r="DX20" s="31"/>
      <c r="DY20" s="31"/>
      <c r="DZ20" s="31"/>
      <c r="EA20" s="31"/>
      <c r="EB20" s="31"/>
      <c r="EC20" s="31"/>
      <c r="ED20" s="31"/>
      <c r="EE20" s="31"/>
      <c r="EF20" s="31"/>
      <c r="EG20" s="31"/>
      <c r="EH20" s="31"/>
      <c r="EI20" s="31"/>
      <c r="EJ20" s="31"/>
      <c r="EK20" s="31"/>
      <c r="EL20" s="31"/>
      <c r="EM20" s="31"/>
      <c r="EN20" s="31"/>
      <c r="EO20" s="31"/>
      <c r="EP20" s="31"/>
      <c r="EQ20" s="31"/>
      <c r="ER20" s="31"/>
      <c r="ES20" s="31"/>
      <c r="ET20" s="31"/>
      <c r="EU20" s="31"/>
      <c r="EV20" s="31"/>
      <c r="EW20" s="31"/>
      <c r="EX20" s="31"/>
      <c r="EY20" s="31"/>
      <c r="EZ20" s="31"/>
      <c r="FA20" s="31"/>
      <c r="FB20" s="31"/>
      <c r="FC20" s="31"/>
      <c r="FD20" s="31"/>
      <c r="FE20" s="31"/>
      <c r="FF20" s="31"/>
      <c r="FG20" s="31"/>
      <c r="FH20" s="31"/>
      <c r="FI20" s="31"/>
      <c r="FJ20" s="31"/>
      <c r="FK20" s="31"/>
      <c r="FL20" s="31"/>
      <c r="FM20" s="31"/>
      <c r="FN20" s="31"/>
      <c r="FO20" s="31"/>
      <c r="FP20" s="31"/>
      <c r="FQ20" s="31"/>
      <c r="FR20" s="31"/>
      <c r="FS20" s="31"/>
      <c r="FT20" s="31"/>
      <c r="FU20" s="31"/>
      <c r="FV20" s="31"/>
      <c r="FW20" s="31"/>
      <c r="FX20" s="31"/>
      <c r="FY20" s="31"/>
      <c r="FZ20" s="31"/>
      <c r="GA20" s="31"/>
      <c r="GB20" s="31"/>
      <c r="GC20" s="31"/>
      <c r="GD20" s="31"/>
      <c r="GE20" s="31"/>
      <c r="GF20" s="31"/>
      <c r="GG20" s="31"/>
      <c r="GH20" s="31"/>
      <c r="GI20" s="31"/>
      <c r="GJ20" s="31"/>
      <c r="GK20" s="31"/>
      <c r="GL20" s="31"/>
      <c r="GM20" s="31"/>
      <c r="GN20" s="31"/>
      <c r="GO20" s="31"/>
      <c r="GP20" s="31"/>
      <c r="GQ20" s="31"/>
      <c r="GR20" s="31"/>
      <c r="GS20" s="31"/>
      <c r="GT20" s="31"/>
      <c r="GU20" s="31"/>
      <c r="GV20" s="31"/>
      <c r="GW20" s="31"/>
      <c r="GX20" s="31"/>
      <c r="GY20" s="31"/>
      <c r="GZ20" s="31"/>
      <c r="HA20" s="31"/>
      <c r="HB20" s="31"/>
      <c r="HC20" s="31"/>
    </row>
    <row r="21" spans="1:211" s="3" customFormat="1" ht="30" customHeight="1" thickBot="1" x14ac:dyDescent="0.3">
      <c r="A21" s="45"/>
      <c r="B21" s="21" t="s">
        <v>49</v>
      </c>
      <c r="C21" s="56"/>
      <c r="D21" s="22"/>
      <c r="E21" s="74"/>
      <c r="F21" s="75"/>
      <c r="G21" s="14"/>
      <c r="H21" s="14" t="str">
        <f t="shared" si="164"/>
        <v/>
      </c>
      <c r="I21" s="31"/>
      <c r="J21" s="31"/>
      <c r="K21" s="31"/>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c r="BM21" s="31"/>
      <c r="BN21" s="31"/>
      <c r="BO21" s="31"/>
      <c r="BP21" s="31"/>
      <c r="BQ21" s="31"/>
      <c r="BR21" s="31"/>
      <c r="BS21" s="31"/>
      <c r="BT21" s="31"/>
      <c r="BU21" s="31"/>
      <c r="BV21" s="31"/>
      <c r="BW21" s="31"/>
      <c r="BX21" s="31"/>
      <c r="BY21" s="31"/>
      <c r="BZ21" s="31"/>
      <c r="CA21" s="31"/>
      <c r="CB21" s="31"/>
      <c r="CC21" s="31"/>
      <c r="CD21" s="31"/>
      <c r="CE21" s="31"/>
      <c r="CF21" s="31"/>
      <c r="CG21" s="31"/>
      <c r="CH21" s="31"/>
      <c r="CI21" s="31"/>
      <c r="CJ21" s="31"/>
      <c r="CK21" s="31"/>
      <c r="CL21" s="31"/>
      <c r="CM21" s="31"/>
      <c r="CN21" s="31"/>
      <c r="CO21" s="31"/>
      <c r="CP21" s="31"/>
      <c r="CQ21" s="31"/>
      <c r="CR21" s="31"/>
      <c r="CS21" s="31"/>
      <c r="CT21" s="31"/>
      <c r="CU21" s="31"/>
      <c r="CV21" s="31"/>
      <c r="CW21" s="31"/>
      <c r="CX21" s="31"/>
      <c r="CY21" s="31"/>
      <c r="CZ21" s="31"/>
      <c r="DA21" s="31"/>
      <c r="DB21" s="31"/>
      <c r="DC21" s="31"/>
      <c r="DD21" s="31"/>
      <c r="DE21" s="31"/>
      <c r="DF21" s="31"/>
      <c r="DG21" s="31"/>
      <c r="DH21" s="31"/>
      <c r="DI21" s="31"/>
      <c r="DJ21" s="31"/>
      <c r="DK21" s="31"/>
      <c r="DL21" s="31"/>
      <c r="DM21" s="31"/>
      <c r="DN21" s="31"/>
      <c r="DO21" s="31"/>
      <c r="DP21" s="31"/>
      <c r="DQ21" s="31"/>
      <c r="DR21" s="31"/>
      <c r="DS21" s="31"/>
      <c r="DT21" s="31"/>
      <c r="DU21" s="31"/>
      <c r="DV21" s="31"/>
      <c r="DW21" s="31"/>
      <c r="DX21" s="31"/>
      <c r="DY21" s="31"/>
      <c r="DZ21" s="31"/>
      <c r="EA21" s="31"/>
      <c r="EB21" s="31"/>
      <c r="EC21" s="31"/>
      <c r="ED21" s="31"/>
      <c r="EE21" s="31"/>
      <c r="EF21" s="31"/>
      <c r="EG21" s="31"/>
      <c r="EH21" s="31"/>
      <c r="EI21" s="31"/>
      <c r="EJ21" s="31"/>
      <c r="EK21" s="31"/>
      <c r="EL21" s="31"/>
      <c r="EM21" s="31"/>
      <c r="EN21" s="31"/>
      <c r="EO21" s="31"/>
      <c r="EP21" s="31"/>
      <c r="EQ21" s="31"/>
      <c r="ER21" s="31"/>
      <c r="ES21" s="31"/>
      <c r="ET21" s="31"/>
      <c r="EU21" s="31"/>
      <c r="EV21" s="31"/>
      <c r="EW21" s="31"/>
      <c r="EX21" s="31"/>
      <c r="EY21" s="31"/>
      <c r="EZ21" s="31"/>
      <c r="FA21" s="31"/>
      <c r="FB21" s="31"/>
      <c r="FC21" s="31"/>
      <c r="FD21" s="31"/>
      <c r="FE21" s="31"/>
      <c r="FF21" s="31"/>
      <c r="FG21" s="31"/>
      <c r="FH21" s="31"/>
      <c r="FI21" s="31"/>
      <c r="FJ21" s="31"/>
      <c r="FK21" s="31"/>
      <c r="FL21" s="31"/>
      <c r="FM21" s="31"/>
      <c r="FN21" s="31"/>
      <c r="FO21" s="31"/>
      <c r="FP21" s="31"/>
      <c r="FQ21" s="31"/>
      <c r="FR21" s="31"/>
      <c r="FS21" s="31"/>
      <c r="FT21" s="31"/>
      <c r="FU21" s="31"/>
      <c r="FV21" s="31"/>
      <c r="FW21" s="31"/>
      <c r="FX21" s="31"/>
      <c r="FY21" s="31"/>
      <c r="FZ21" s="31"/>
      <c r="GA21" s="31"/>
      <c r="GB21" s="31"/>
      <c r="GC21" s="31"/>
      <c r="GD21" s="31"/>
      <c r="GE21" s="31"/>
      <c r="GF21" s="31"/>
      <c r="GG21" s="31"/>
      <c r="GH21" s="31"/>
      <c r="GI21" s="31"/>
      <c r="GJ21" s="31"/>
      <c r="GK21" s="31"/>
      <c r="GL21" s="31"/>
      <c r="GM21" s="31"/>
      <c r="GN21" s="31"/>
      <c r="GO21" s="31"/>
      <c r="GP21" s="31"/>
      <c r="GQ21" s="31"/>
      <c r="GR21" s="31"/>
      <c r="GS21" s="31"/>
      <c r="GT21" s="31"/>
      <c r="GU21" s="31"/>
      <c r="GV21" s="31"/>
      <c r="GW21" s="31"/>
      <c r="GX21" s="31"/>
      <c r="GY21" s="31"/>
      <c r="GZ21" s="31"/>
      <c r="HA21" s="31"/>
      <c r="HB21" s="31"/>
      <c r="HC21" s="31"/>
    </row>
    <row r="22" spans="1:211" s="3" customFormat="1" ht="30" customHeight="1" thickBot="1" x14ac:dyDescent="0.3">
      <c r="A22" s="45"/>
      <c r="B22" s="63" t="s">
        <v>52</v>
      </c>
      <c r="C22" s="57"/>
      <c r="D22" s="23">
        <v>1</v>
      </c>
      <c r="E22" s="76">
        <f>F20+7</f>
        <v>46032</v>
      </c>
      <c r="F22" s="76">
        <f>E22+3</f>
        <v>46035</v>
      </c>
      <c r="G22" s="14"/>
      <c r="H22" s="14">
        <f t="shared" si="164"/>
        <v>4</v>
      </c>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c r="BM22" s="31"/>
      <c r="BN22" s="31"/>
      <c r="BO22" s="31"/>
      <c r="BP22" s="31"/>
      <c r="BQ22" s="31"/>
      <c r="BR22" s="31"/>
      <c r="BS22" s="31"/>
      <c r="BT22" s="31"/>
      <c r="BU22" s="31"/>
      <c r="BV22" s="31"/>
      <c r="BW22" s="31"/>
      <c r="BX22" s="31"/>
      <c r="BY22" s="31"/>
      <c r="BZ22" s="31"/>
      <c r="CA22" s="31"/>
      <c r="CB22" s="31"/>
      <c r="CC22" s="31"/>
      <c r="CD22" s="31"/>
      <c r="CE22" s="31"/>
      <c r="CF22" s="31"/>
      <c r="CG22" s="31"/>
      <c r="CH22" s="31"/>
      <c r="CI22" s="31"/>
      <c r="CJ22" s="31"/>
      <c r="CK22" s="31"/>
      <c r="CL22" s="31"/>
      <c r="CM22" s="31"/>
      <c r="CN22" s="31"/>
      <c r="CO22" s="31"/>
      <c r="CP22" s="31"/>
      <c r="CQ22" s="31"/>
      <c r="CR22" s="31"/>
      <c r="CS22" s="31"/>
      <c r="CT22" s="31"/>
      <c r="CU22" s="31"/>
      <c r="CV22" s="31"/>
      <c r="CW22" s="31"/>
      <c r="CX22" s="31"/>
      <c r="CY22" s="31"/>
      <c r="CZ22" s="31"/>
      <c r="DA22" s="31"/>
      <c r="DB22" s="31"/>
      <c r="DC22" s="31"/>
      <c r="DD22" s="31"/>
      <c r="DE22" s="31"/>
      <c r="DF22" s="31"/>
      <c r="DG22" s="31"/>
      <c r="DH22" s="31"/>
      <c r="DI22" s="31"/>
      <c r="DJ22" s="31"/>
      <c r="DK22" s="31"/>
      <c r="DL22" s="31"/>
      <c r="DM22" s="31"/>
      <c r="DN22" s="31"/>
      <c r="DO22" s="31"/>
      <c r="DP22" s="31"/>
      <c r="DQ22" s="31"/>
      <c r="DR22" s="31"/>
      <c r="DS22" s="31"/>
      <c r="DT22" s="31"/>
      <c r="DU22" s="31"/>
      <c r="DV22" s="31"/>
      <c r="DW22" s="31"/>
      <c r="DX22" s="31"/>
      <c r="DY22" s="31"/>
      <c r="DZ22" s="31"/>
      <c r="EA22" s="31"/>
      <c r="EB22" s="31"/>
      <c r="EC22" s="31"/>
      <c r="ED22" s="31"/>
      <c r="EE22" s="31"/>
      <c r="EF22" s="31"/>
      <c r="EG22" s="31"/>
      <c r="EH22" s="31"/>
      <c r="EI22" s="31"/>
      <c r="EJ22" s="31"/>
      <c r="EK22" s="31"/>
      <c r="EL22" s="31"/>
      <c r="EM22" s="31"/>
      <c r="EN22" s="31"/>
      <c r="EO22" s="31"/>
      <c r="EP22" s="31"/>
      <c r="EQ22" s="31"/>
      <c r="ER22" s="31"/>
      <c r="ES22" s="31"/>
      <c r="ET22" s="31"/>
      <c r="EU22" s="31"/>
      <c r="EV22" s="31"/>
      <c r="EW22" s="31"/>
      <c r="EX22" s="31"/>
      <c r="EY22" s="31"/>
      <c r="EZ22" s="31"/>
      <c r="FA22" s="31"/>
      <c r="FB22" s="31"/>
      <c r="FC22" s="31"/>
      <c r="FD22" s="31"/>
      <c r="FE22" s="31"/>
      <c r="FF22" s="31"/>
      <c r="FG22" s="31"/>
      <c r="FH22" s="31"/>
      <c r="FI22" s="31"/>
      <c r="FJ22" s="31"/>
      <c r="FK22" s="31"/>
      <c r="FL22" s="31"/>
      <c r="FM22" s="31"/>
      <c r="FN22" s="31"/>
      <c r="FO22" s="31"/>
      <c r="FP22" s="31"/>
      <c r="FQ22" s="31"/>
      <c r="FR22" s="31"/>
      <c r="FS22" s="31"/>
      <c r="FT22" s="31"/>
      <c r="FU22" s="31"/>
      <c r="FV22" s="31"/>
      <c r="FW22" s="31"/>
      <c r="FX22" s="31"/>
      <c r="FY22" s="31"/>
      <c r="FZ22" s="31"/>
      <c r="GA22" s="31"/>
      <c r="GB22" s="31"/>
      <c r="GC22" s="31"/>
      <c r="GD22" s="31"/>
      <c r="GE22" s="31"/>
      <c r="GF22" s="31"/>
      <c r="GG22" s="31"/>
      <c r="GH22" s="31"/>
      <c r="GI22" s="31"/>
      <c r="GJ22" s="31"/>
      <c r="GK22" s="31"/>
      <c r="GL22" s="31"/>
      <c r="GM22" s="31"/>
      <c r="GN22" s="31"/>
      <c r="GO22" s="31"/>
      <c r="GP22" s="31"/>
      <c r="GQ22" s="31"/>
      <c r="GR22" s="31"/>
      <c r="GS22" s="31"/>
      <c r="GT22" s="31"/>
      <c r="GU22" s="31"/>
      <c r="GV22" s="31"/>
      <c r="GW22" s="31"/>
      <c r="GX22" s="31"/>
      <c r="GY22" s="31"/>
      <c r="GZ22" s="31"/>
      <c r="HA22" s="31"/>
      <c r="HB22" s="31"/>
      <c r="HC22" s="31"/>
    </row>
    <row r="23" spans="1:211" s="3" customFormat="1" ht="30" customHeight="1" thickBot="1" x14ac:dyDescent="0.3">
      <c r="A23" s="45"/>
      <c r="B23" s="63" t="s">
        <v>53</v>
      </c>
      <c r="C23" s="57"/>
      <c r="D23" s="23">
        <v>1</v>
      </c>
      <c r="E23" s="76">
        <f>F22+1</f>
        <v>46036</v>
      </c>
      <c r="F23" s="76">
        <f>E23+4</f>
        <v>46040</v>
      </c>
      <c r="G23" s="14"/>
      <c r="H23" s="14">
        <f t="shared" si="164"/>
        <v>5</v>
      </c>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c r="BM23" s="31"/>
      <c r="BN23" s="31"/>
      <c r="BO23" s="31"/>
      <c r="BP23" s="31"/>
      <c r="BQ23" s="31"/>
      <c r="BR23" s="31"/>
      <c r="BS23" s="31"/>
      <c r="BT23" s="31"/>
      <c r="BU23" s="31"/>
      <c r="BV23" s="31"/>
      <c r="BW23" s="31"/>
      <c r="BX23" s="31"/>
      <c r="BY23" s="31"/>
      <c r="BZ23" s="31"/>
      <c r="CA23" s="31"/>
      <c r="CB23" s="31"/>
      <c r="CC23" s="31"/>
      <c r="CD23" s="31"/>
      <c r="CE23" s="31"/>
      <c r="CF23" s="31"/>
      <c r="CG23" s="31"/>
      <c r="CH23" s="31"/>
      <c r="CI23" s="31"/>
      <c r="CJ23" s="31"/>
      <c r="CK23" s="31"/>
      <c r="CL23" s="31"/>
      <c r="CM23" s="31"/>
      <c r="CN23" s="31"/>
      <c r="CO23" s="31"/>
      <c r="CP23" s="31"/>
      <c r="CQ23" s="31"/>
      <c r="CR23" s="31"/>
      <c r="CS23" s="31"/>
      <c r="CT23" s="31"/>
      <c r="CU23" s="31"/>
      <c r="CV23" s="31"/>
      <c r="CW23" s="31"/>
      <c r="CX23" s="31"/>
      <c r="CY23" s="31"/>
      <c r="CZ23" s="31"/>
      <c r="DA23" s="31"/>
      <c r="DB23" s="31"/>
      <c r="DC23" s="31"/>
      <c r="DD23" s="31"/>
      <c r="DE23" s="31"/>
      <c r="DF23" s="31"/>
      <c r="DG23" s="31"/>
      <c r="DH23" s="31"/>
      <c r="DI23" s="31"/>
      <c r="DJ23" s="31"/>
      <c r="DK23" s="31"/>
      <c r="DL23" s="31"/>
      <c r="DM23" s="31"/>
      <c r="DN23" s="31"/>
      <c r="DO23" s="31"/>
      <c r="DP23" s="31"/>
      <c r="DQ23" s="31"/>
      <c r="DR23" s="31"/>
      <c r="DS23" s="31"/>
      <c r="DT23" s="31"/>
      <c r="DU23" s="31"/>
      <c r="DV23" s="31"/>
      <c r="DW23" s="31"/>
      <c r="DX23" s="31"/>
      <c r="DY23" s="31"/>
      <c r="DZ23" s="31"/>
      <c r="EA23" s="31"/>
      <c r="EB23" s="31"/>
      <c r="EC23" s="31"/>
      <c r="ED23" s="31"/>
      <c r="EE23" s="31"/>
      <c r="EF23" s="31"/>
      <c r="EG23" s="31"/>
      <c r="EH23" s="31"/>
      <c r="EI23" s="31"/>
      <c r="EJ23" s="31"/>
      <c r="EK23" s="31"/>
      <c r="EL23" s="31"/>
      <c r="EM23" s="31"/>
      <c r="EN23" s="31"/>
      <c r="EO23" s="31"/>
      <c r="EP23" s="31"/>
      <c r="EQ23" s="31"/>
      <c r="ER23" s="31"/>
      <c r="ES23" s="31"/>
      <c r="ET23" s="31"/>
      <c r="EU23" s="31"/>
      <c r="EV23" s="31"/>
      <c r="EW23" s="31"/>
      <c r="EX23" s="31"/>
      <c r="EY23" s="31"/>
      <c r="EZ23" s="31"/>
      <c r="FA23" s="31"/>
      <c r="FB23" s="31"/>
      <c r="FC23" s="31"/>
      <c r="FD23" s="31"/>
      <c r="FE23" s="31"/>
      <c r="FF23" s="31"/>
      <c r="FG23" s="31"/>
      <c r="FH23" s="31"/>
      <c r="FI23" s="31"/>
      <c r="FJ23" s="31"/>
      <c r="FK23" s="31"/>
      <c r="FL23" s="31"/>
      <c r="FM23" s="31"/>
      <c r="FN23" s="31"/>
      <c r="FO23" s="31"/>
      <c r="FP23" s="31"/>
      <c r="FQ23" s="31"/>
      <c r="FR23" s="31"/>
      <c r="FS23" s="31"/>
      <c r="FT23" s="31"/>
      <c r="FU23" s="31"/>
      <c r="FV23" s="31"/>
      <c r="FW23" s="31"/>
      <c r="FX23" s="31"/>
      <c r="FY23" s="31"/>
      <c r="FZ23" s="31"/>
      <c r="GA23" s="31"/>
      <c r="GB23" s="31"/>
      <c r="GC23" s="31"/>
      <c r="GD23" s="31"/>
      <c r="GE23" s="31"/>
      <c r="GF23" s="31"/>
      <c r="GG23" s="31"/>
      <c r="GH23" s="31"/>
      <c r="GI23" s="31"/>
      <c r="GJ23" s="31"/>
      <c r="GK23" s="31"/>
      <c r="GL23" s="31"/>
      <c r="GM23" s="31"/>
      <c r="GN23" s="31"/>
      <c r="GO23" s="31"/>
      <c r="GP23" s="31"/>
      <c r="GQ23" s="31"/>
      <c r="GR23" s="31"/>
      <c r="GS23" s="31"/>
      <c r="GT23" s="31"/>
      <c r="GU23" s="31"/>
      <c r="GV23" s="31"/>
      <c r="GW23" s="31"/>
      <c r="GX23" s="31"/>
      <c r="GY23" s="31"/>
      <c r="GZ23" s="31"/>
      <c r="HA23" s="31"/>
      <c r="HB23" s="31"/>
      <c r="HC23" s="31"/>
    </row>
    <row r="24" spans="1:211" s="3" customFormat="1" ht="30" customHeight="1" thickBot="1" x14ac:dyDescent="0.3">
      <c r="A24" s="45"/>
      <c r="B24" s="63" t="s">
        <v>54</v>
      </c>
      <c r="C24" s="57"/>
      <c r="D24" s="23">
        <v>1</v>
      </c>
      <c r="E24" s="76">
        <f>F23+1</f>
        <v>46041</v>
      </c>
      <c r="F24" s="76">
        <f>E24+7</f>
        <v>46048</v>
      </c>
      <c r="G24" s="14"/>
      <c r="H24" s="14">
        <f t="shared" si="164"/>
        <v>8</v>
      </c>
      <c r="I24" s="31"/>
      <c r="J24" s="31"/>
      <c r="K24" s="31"/>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c r="BM24" s="31"/>
      <c r="BN24" s="31"/>
      <c r="BO24" s="31"/>
      <c r="BP24" s="31"/>
      <c r="BQ24" s="31"/>
      <c r="BR24" s="31"/>
      <c r="BS24" s="31"/>
      <c r="BT24" s="31"/>
      <c r="BU24" s="31"/>
      <c r="BV24" s="31"/>
      <c r="BW24" s="31"/>
      <c r="BX24" s="31"/>
      <c r="BY24" s="31"/>
      <c r="BZ24" s="31"/>
      <c r="CA24" s="31"/>
      <c r="CB24" s="31"/>
      <c r="CC24" s="31"/>
      <c r="CD24" s="31"/>
      <c r="CE24" s="31"/>
      <c r="CF24" s="31"/>
      <c r="CG24" s="31"/>
      <c r="CH24" s="31"/>
      <c r="CI24" s="31"/>
      <c r="CJ24" s="31"/>
      <c r="CK24" s="31"/>
      <c r="CL24" s="31"/>
      <c r="CM24" s="31"/>
      <c r="CN24" s="31"/>
      <c r="CO24" s="31"/>
      <c r="CP24" s="31"/>
      <c r="CQ24" s="31"/>
      <c r="CR24" s="31"/>
      <c r="CS24" s="31"/>
      <c r="CT24" s="31"/>
      <c r="CU24" s="31"/>
      <c r="CV24" s="31"/>
      <c r="CW24" s="31"/>
      <c r="CX24" s="31"/>
      <c r="CY24" s="31"/>
      <c r="CZ24" s="31"/>
      <c r="DA24" s="31"/>
      <c r="DB24" s="31"/>
      <c r="DC24" s="31"/>
      <c r="DD24" s="31"/>
      <c r="DE24" s="31"/>
      <c r="DF24" s="31"/>
      <c r="DG24" s="31"/>
      <c r="DH24" s="31"/>
      <c r="DI24" s="31"/>
      <c r="DJ24" s="31"/>
      <c r="DK24" s="31"/>
      <c r="DL24" s="31"/>
      <c r="DM24" s="31"/>
      <c r="DN24" s="31"/>
      <c r="DO24" s="31"/>
      <c r="DP24" s="31"/>
      <c r="DQ24" s="31"/>
      <c r="DR24" s="31"/>
      <c r="DS24" s="31"/>
      <c r="DT24" s="31"/>
      <c r="DU24" s="31"/>
      <c r="DV24" s="31"/>
      <c r="DW24" s="31"/>
      <c r="DX24" s="31"/>
      <c r="DY24" s="31"/>
      <c r="DZ24" s="31"/>
      <c r="EA24" s="31"/>
      <c r="EB24" s="31"/>
      <c r="EC24" s="31"/>
      <c r="ED24" s="31"/>
      <c r="EE24" s="31"/>
      <c r="EF24" s="31"/>
      <c r="EG24" s="31"/>
      <c r="EH24" s="31"/>
      <c r="EI24" s="31"/>
      <c r="EJ24" s="31"/>
      <c r="EK24" s="31"/>
      <c r="EL24" s="31"/>
      <c r="EM24" s="31"/>
      <c r="EN24" s="31"/>
      <c r="EO24" s="31"/>
      <c r="EP24" s="31"/>
      <c r="EQ24" s="31"/>
      <c r="ER24" s="31"/>
      <c r="ES24" s="31"/>
      <c r="ET24" s="31"/>
      <c r="EU24" s="31"/>
      <c r="EV24" s="31"/>
      <c r="EW24" s="31"/>
      <c r="EX24" s="31"/>
      <c r="EY24" s="31"/>
      <c r="EZ24" s="31"/>
      <c r="FA24" s="31"/>
      <c r="FB24" s="31"/>
      <c r="FC24" s="31"/>
      <c r="FD24" s="31"/>
      <c r="FE24" s="31"/>
      <c r="FF24" s="31"/>
      <c r="FG24" s="31"/>
      <c r="FH24" s="31"/>
      <c r="FI24" s="31"/>
      <c r="FJ24" s="31"/>
      <c r="FK24" s="31"/>
      <c r="FL24" s="31"/>
      <c r="FM24" s="31"/>
      <c r="FN24" s="31"/>
      <c r="FO24" s="31"/>
      <c r="FP24" s="31"/>
      <c r="FQ24" s="31"/>
      <c r="FR24" s="31"/>
      <c r="FS24" s="31"/>
      <c r="FT24" s="31"/>
      <c r="FU24" s="31"/>
      <c r="FV24" s="31"/>
      <c r="FW24" s="31"/>
      <c r="FX24" s="31"/>
      <c r="FY24" s="31"/>
      <c r="FZ24" s="31"/>
      <c r="GA24" s="31"/>
      <c r="GB24" s="31"/>
      <c r="GC24" s="31"/>
      <c r="GD24" s="31"/>
      <c r="GE24" s="31"/>
      <c r="GF24" s="31"/>
      <c r="GG24" s="31"/>
      <c r="GH24" s="31"/>
      <c r="GI24" s="31"/>
      <c r="GJ24" s="31"/>
      <c r="GK24" s="31"/>
      <c r="GL24" s="31"/>
      <c r="GM24" s="31"/>
      <c r="GN24" s="31"/>
      <c r="GO24" s="31"/>
      <c r="GP24" s="31"/>
      <c r="GQ24" s="31"/>
      <c r="GR24" s="31"/>
      <c r="GS24" s="31"/>
      <c r="GT24" s="31"/>
      <c r="GU24" s="31"/>
      <c r="GV24" s="31"/>
      <c r="GW24" s="31"/>
      <c r="GX24" s="31"/>
      <c r="GY24" s="31"/>
      <c r="GZ24" s="31"/>
      <c r="HA24" s="31"/>
      <c r="HB24" s="31"/>
      <c r="HC24" s="31"/>
    </row>
    <row r="25" spans="1:211" s="3" customFormat="1" ht="30" customHeight="1" thickBot="1" x14ac:dyDescent="0.3">
      <c r="A25" s="45" t="s">
        <v>11</v>
      </c>
      <c r="B25" s="63" t="s">
        <v>55</v>
      </c>
      <c r="C25" s="57"/>
      <c r="D25" s="23">
        <v>1</v>
      </c>
      <c r="E25" s="76">
        <f>F24+1</f>
        <v>46049</v>
      </c>
      <c r="F25" s="76">
        <f>E25+4</f>
        <v>46053</v>
      </c>
      <c r="G25" s="14"/>
      <c r="H25" s="14">
        <f t="shared" si="164"/>
        <v>5</v>
      </c>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c r="BM25" s="31"/>
      <c r="BN25" s="31"/>
      <c r="BO25" s="31"/>
      <c r="BP25" s="31"/>
      <c r="BQ25" s="31"/>
      <c r="BR25" s="31"/>
      <c r="BS25" s="31"/>
      <c r="BT25" s="31"/>
      <c r="BU25" s="31"/>
      <c r="BV25" s="31"/>
      <c r="BW25" s="31"/>
      <c r="BX25" s="31"/>
      <c r="BY25" s="31"/>
      <c r="BZ25" s="31"/>
      <c r="CA25" s="31"/>
      <c r="CB25" s="31"/>
      <c r="CC25" s="31"/>
      <c r="CD25" s="31"/>
      <c r="CE25" s="31"/>
      <c r="CF25" s="31"/>
      <c r="CG25" s="31"/>
      <c r="CH25" s="31"/>
      <c r="CI25" s="31"/>
      <c r="CJ25" s="31"/>
      <c r="CK25" s="31"/>
      <c r="CL25" s="31"/>
      <c r="CM25" s="31"/>
      <c r="CN25" s="31"/>
      <c r="CO25" s="31"/>
      <c r="CP25" s="31"/>
      <c r="CQ25" s="31"/>
      <c r="CR25" s="31"/>
      <c r="CS25" s="31"/>
      <c r="CT25" s="31"/>
      <c r="CU25" s="31"/>
      <c r="CV25" s="31"/>
      <c r="CW25" s="31"/>
      <c r="CX25" s="31"/>
      <c r="CY25" s="31"/>
      <c r="CZ25" s="31"/>
      <c r="DA25" s="31"/>
      <c r="DB25" s="31"/>
      <c r="DC25" s="31"/>
      <c r="DD25" s="31"/>
      <c r="DE25" s="31"/>
      <c r="DF25" s="31"/>
      <c r="DG25" s="31"/>
      <c r="DH25" s="31"/>
      <c r="DI25" s="31"/>
      <c r="DJ25" s="31"/>
      <c r="DK25" s="31"/>
      <c r="DL25" s="31"/>
      <c r="DM25" s="31"/>
      <c r="DN25" s="31"/>
      <c r="DO25" s="31"/>
      <c r="DP25" s="31"/>
      <c r="DQ25" s="31"/>
      <c r="DR25" s="31"/>
      <c r="DS25" s="31"/>
      <c r="DT25" s="31"/>
      <c r="DU25" s="31"/>
      <c r="DV25" s="31"/>
      <c r="DW25" s="31"/>
      <c r="DX25" s="31"/>
      <c r="DY25" s="31"/>
      <c r="DZ25" s="31"/>
      <c r="EA25" s="31"/>
      <c r="EB25" s="31"/>
      <c r="EC25" s="31"/>
      <c r="ED25" s="31"/>
      <c r="EE25" s="31"/>
      <c r="EF25" s="31"/>
      <c r="EG25" s="31"/>
      <c r="EH25" s="31"/>
      <c r="EI25" s="31"/>
      <c r="EJ25" s="31"/>
      <c r="EK25" s="31"/>
      <c r="EL25" s="31"/>
      <c r="EM25" s="31"/>
      <c r="EN25" s="31"/>
      <c r="EO25" s="31"/>
      <c r="EP25" s="31"/>
      <c r="EQ25" s="31"/>
      <c r="ER25" s="31"/>
      <c r="ES25" s="31"/>
      <c r="ET25" s="31"/>
      <c r="EU25" s="31"/>
      <c r="EV25" s="31"/>
      <c r="EW25" s="31"/>
      <c r="EX25" s="31"/>
      <c r="EY25" s="31"/>
      <c r="EZ25" s="31"/>
      <c r="FA25" s="31"/>
      <c r="FB25" s="31"/>
      <c r="FC25" s="31"/>
      <c r="FD25" s="31"/>
      <c r="FE25" s="31"/>
      <c r="FF25" s="31"/>
      <c r="FG25" s="31"/>
      <c r="FH25" s="31"/>
      <c r="FI25" s="31"/>
      <c r="FJ25" s="31"/>
      <c r="FK25" s="31"/>
      <c r="FL25" s="31"/>
      <c r="FM25" s="31"/>
      <c r="FN25" s="31"/>
      <c r="FO25" s="31"/>
      <c r="FP25" s="31"/>
      <c r="FQ25" s="31"/>
      <c r="FR25" s="31"/>
      <c r="FS25" s="31"/>
      <c r="FT25" s="31"/>
      <c r="FU25" s="31"/>
      <c r="FV25" s="31"/>
      <c r="FW25" s="31"/>
      <c r="FX25" s="31"/>
      <c r="FY25" s="31"/>
      <c r="FZ25" s="31"/>
      <c r="GA25" s="31"/>
      <c r="GB25" s="31"/>
      <c r="GC25" s="31"/>
      <c r="GD25" s="31"/>
      <c r="GE25" s="31"/>
      <c r="GF25" s="31"/>
      <c r="GG25" s="31"/>
      <c r="GH25" s="31"/>
      <c r="GI25" s="31"/>
      <c r="GJ25" s="31"/>
      <c r="GK25" s="31"/>
      <c r="GL25" s="31"/>
      <c r="GM25" s="31"/>
      <c r="GN25" s="31"/>
      <c r="GO25" s="31"/>
      <c r="GP25" s="31"/>
      <c r="GQ25" s="31"/>
      <c r="GR25" s="31"/>
      <c r="GS25" s="31"/>
      <c r="GT25" s="31"/>
      <c r="GU25" s="31"/>
      <c r="GV25" s="31"/>
      <c r="GW25" s="31"/>
      <c r="GX25" s="31"/>
      <c r="GY25" s="31"/>
      <c r="GZ25" s="31"/>
      <c r="HA25" s="31"/>
      <c r="HB25" s="31"/>
      <c r="HC25" s="31"/>
    </row>
    <row r="26" spans="1:211" s="3" customFormat="1" ht="30" customHeight="1" thickBot="1" x14ac:dyDescent="0.3">
      <c r="A26" s="45"/>
      <c r="B26" s="63" t="s">
        <v>57</v>
      </c>
      <c r="C26" s="57"/>
      <c r="D26" s="23">
        <v>1</v>
      </c>
      <c r="E26" s="76">
        <f>F25+1</f>
        <v>46054</v>
      </c>
      <c r="F26" s="76">
        <f>E26+21</f>
        <v>46075</v>
      </c>
      <c r="G26" s="14"/>
      <c r="H26" s="14">
        <f t="shared" si="164"/>
        <v>22</v>
      </c>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31"/>
      <c r="BL26" s="31"/>
      <c r="BM26" s="31"/>
      <c r="BN26" s="31"/>
      <c r="BO26" s="31"/>
      <c r="BP26" s="31"/>
      <c r="BQ26" s="31"/>
      <c r="BR26" s="31"/>
      <c r="BS26" s="31"/>
      <c r="BT26" s="31"/>
      <c r="BU26" s="31"/>
      <c r="BV26" s="31"/>
      <c r="BW26" s="31"/>
      <c r="BX26" s="31"/>
      <c r="BY26" s="31"/>
      <c r="BZ26" s="31"/>
      <c r="CA26" s="31"/>
      <c r="CB26" s="31"/>
      <c r="CC26" s="31"/>
      <c r="CD26" s="31"/>
      <c r="CE26" s="31"/>
      <c r="CF26" s="31"/>
      <c r="CG26" s="31"/>
      <c r="CH26" s="31"/>
      <c r="CI26" s="31"/>
      <c r="CJ26" s="31"/>
      <c r="CK26" s="31"/>
      <c r="CL26" s="31"/>
      <c r="CM26" s="31"/>
      <c r="CN26" s="31"/>
      <c r="CO26" s="31"/>
      <c r="CP26" s="31"/>
      <c r="CQ26" s="31"/>
      <c r="CR26" s="31"/>
      <c r="CS26" s="31"/>
      <c r="CT26" s="31"/>
      <c r="CU26" s="31"/>
      <c r="CV26" s="31"/>
      <c r="CW26" s="31"/>
      <c r="CX26" s="31"/>
      <c r="CY26" s="31"/>
      <c r="CZ26" s="31"/>
      <c r="DA26" s="31"/>
      <c r="DB26" s="31"/>
      <c r="DC26" s="31"/>
      <c r="DD26" s="31"/>
      <c r="DE26" s="31"/>
      <c r="DF26" s="31"/>
      <c r="DG26" s="31"/>
      <c r="DH26" s="31"/>
      <c r="DI26" s="31"/>
      <c r="DJ26" s="31"/>
      <c r="DK26" s="31"/>
      <c r="DL26" s="31"/>
      <c r="DM26" s="31"/>
      <c r="DN26" s="31"/>
      <c r="DO26" s="31"/>
      <c r="DP26" s="31"/>
      <c r="DQ26" s="31"/>
      <c r="DR26" s="31"/>
      <c r="DS26" s="31"/>
      <c r="DT26" s="31"/>
      <c r="DU26" s="31"/>
      <c r="DV26" s="31"/>
      <c r="DW26" s="31"/>
      <c r="DX26" s="31"/>
      <c r="DY26" s="31"/>
      <c r="DZ26" s="31"/>
      <c r="EA26" s="31"/>
      <c r="EB26" s="31"/>
      <c r="EC26" s="31"/>
      <c r="ED26" s="31"/>
      <c r="EE26" s="31"/>
      <c r="EF26" s="31"/>
      <c r="EG26" s="31"/>
      <c r="EH26" s="31"/>
      <c r="EI26" s="31"/>
      <c r="EJ26" s="31"/>
      <c r="EK26" s="31"/>
      <c r="EL26" s="31"/>
      <c r="EM26" s="31"/>
      <c r="EN26" s="31"/>
      <c r="EO26" s="31"/>
      <c r="EP26" s="31"/>
      <c r="EQ26" s="31"/>
      <c r="ER26" s="31"/>
      <c r="ES26" s="31"/>
      <c r="ET26" s="31"/>
      <c r="EU26" s="31"/>
      <c r="EV26" s="31"/>
      <c r="EW26" s="31"/>
      <c r="EX26" s="31"/>
      <c r="EY26" s="31"/>
      <c r="EZ26" s="31"/>
      <c r="FA26" s="31"/>
      <c r="FB26" s="31"/>
      <c r="FC26" s="31"/>
      <c r="FD26" s="31"/>
      <c r="FE26" s="31"/>
      <c r="FF26" s="31"/>
      <c r="FG26" s="31"/>
      <c r="FH26" s="31"/>
      <c r="FI26" s="31"/>
      <c r="FJ26" s="31"/>
      <c r="FK26" s="31"/>
      <c r="FL26" s="31"/>
      <c r="FM26" s="31"/>
      <c r="FN26" s="31"/>
      <c r="FO26" s="31"/>
      <c r="FP26" s="31"/>
      <c r="FQ26" s="31"/>
      <c r="FR26" s="31"/>
      <c r="FS26" s="31"/>
      <c r="FT26" s="31"/>
      <c r="FU26" s="31"/>
      <c r="FV26" s="31"/>
      <c r="FW26" s="31"/>
      <c r="FX26" s="31"/>
      <c r="FY26" s="31"/>
      <c r="FZ26" s="31"/>
      <c r="GA26" s="31"/>
      <c r="GB26" s="31"/>
      <c r="GC26" s="31"/>
      <c r="GD26" s="31"/>
      <c r="GE26" s="31"/>
      <c r="GF26" s="31"/>
      <c r="GG26" s="31"/>
      <c r="GH26" s="31"/>
      <c r="GI26" s="31"/>
      <c r="GJ26" s="31"/>
      <c r="GK26" s="31"/>
      <c r="GL26" s="31"/>
      <c r="GM26" s="31"/>
      <c r="GN26" s="31"/>
      <c r="GO26" s="31"/>
      <c r="GP26" s="31"/>
      <c r="GQ26" s="31"/>
      <c r="GR26" s="31"/>
      <c r="GS26" s="31"/>
      <c r="GT26" s="31"/>
      <c r="GU26" s="31"/>
      <c r="GV26" s="31"/>
      <c r="GW26" s="31"/>
      <c r="GX26" s="31"/>
      <c r="GY26" s="31"/>
      <c r="GZ26" s="31"/>
      <c r="HA26" s="31"/>
      <c r="HB26" s="31"/>
      <c r="HC26" s="31"/>
    </row>
    <row r="27" spans="1:211" s="3" customFormat="1" ht="30" customHeight="1" thickBot="1" x14ac:dyDescent="0.3">
      <c r="A27" s="45"/>
      <c r="B27" s="63" t="s">
        <v>56</v>
      </c>
      <c r="C27" s="57"/>
      <c r="D27" s="23">
        <v>1</v>
      </c>
      <c r="E27" s="76">
        <f>F26+7</f>
        <v>46082</v>
      </c>
      <c r="F27" s="76">
        <f>E27+7</f>
        <v>46089</v>
      </c>
      <c r="G27" s="14"/>
      <c r="H27" s="14">
        <f t="shared" si="164"/>
        <v>8</v>
      </c>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31"/>
      <c r="BJ27" s="31"/>
      <c r="BK27" s="31"/>
      <c r="BL27" s="31"/>
      <c r="BM27" s="31"/>
      <c r="BN27" s="31"/>
      <c r="BO27" s="31"/>
      <c r="BP27" s="31"/>
      <c r="BQ27" s="31"/>
      <c r="BR27" s="31"/>
      <c r="BS27" s="31"/>
      <c r="BT27" s="31"/>
      <c r="BU27" s="31"/>
      <c r="BV27" s="31"/>
      <c r="BW27" s="31"/>
      <c r="BX27" s="31"/>
      <c r="BY27" s="31"/>
      <c r="BZ27" s="31"/>
      <c r="CA27" s="31"/>
      <c r="CB27" s="31"/>
      <c r="CC27" s="31"/>
      <c r="CD27" s="31"/>
      <c r="CE27" s="31"/>
      <c r="CF27" s="31"/>
      <c r="CG27" s="31"/>
      <c r="CH27" s="31"/>
      <c r="CI27" s="31"/>
      <c r="CJ27" s="31"/>
      <c r="CK27" s="31"/>
      <c r="CL27" s="31"/>
      <c r="CM27" s="31"/>
      <c r="CN27" s="31"/>
      <c r="CO27" s="31"/>
      <c r="CP27" s="31"/>
      <c r="CQ27" s="31"/>
      <c r="CR27" s="31"/>
      <c r="CS27" s="31"/>
      <c r="CT27" s="31"/>
      <c r="CU27" s="31"/>
      <c r="CV27" s="31"/>
      <c r="CW27" s="31"/>
      <c r="CX27" s="31"/>
      <c r="CY27" s="31"/>
      <c r="CZ27" s="31"/>
      <c r="DA27" s="31"/>
      <c r="DB27" s="31"/>
      <c r="DC27" s="31"/>
      <c r="DD27" s="31"/>
      <c r="DE27" s="31"/>
      <c r="DF27" s="31"/>
      <c r="DG27" s="31"/>
      <c r="DH27" s="31"/>
      <c r="DI27" s="31"/>
      <c r="DJ27" s="31"/>
      <c r="DK27" s="31"/>
      <c r="DL27" s="31"/>
      <c r="DM27" s="31"/>
      <c r="DN27" s="31"/>
      <c r="DO27" s="31"/>
      <c r="DP27" s="31"/>
      <c r="DQ27" s="31"/>
      <c r="DR27" s="31"/>
      <c r="DS27" s="31"/>
      <c r="DT27" s="31"/>
      <c r="DU27" s="31"/>
      <c r="DV27" s="31"/>
      <c r="DW27" s="31"/>
      <c r="DX27" s="31"/>
      <c r="DY27" s="31"/>
      <c r="DZ27" s="31"/>
      <c r="EA27" s="31"/>
      <c r="EB27" s="31"/>
      <c r="EC27" s="31"/>
      <c r="ED27" s="31"/>
      <c r="EE27" s="31"/>
      <c r="EF27" s="31"/>
      <c r="EG27" s="31"/>
      <c r="EH27" s="31"/>
      <c r="EI27" s="31"/>
      <c r="EJ27" s="31"/>
      <c r="EK27" s="31"/>
      <c r="EL27" s="31"/>
      <c r="EM27" s="31"/>
      <c r="EN27" s="31"/>
      <c r="EO27" s="31"/>
      <c r="EP27" s="31"/>
      <c r="EQ27" s="31"/>
      <c r="ER27" s="31"/>
      <c r="ES27" s="31"/>
      <c r="ET27" s="31"/>
      <c r="EU27" s="31"/>
      <c r="EV27" s="31"/>
      <c r="EW27" s="31"/>
      <c r="EX27" s="31"/>
      <c r="EY27" s="31"/>
      <c r="EZ27" s="31"/>
      <c r="FA27" s="31"/>
      <c r="FB27" s="31"/>
      <c r="FC27" s="31"/>
      <c r="FD27" s="31"/>
      <c r="FE27" s="31"/>
      <c r="FF27" s="31"/>
      <c r="FG27" s="31"/>
      <c r="FH27" s="31"/>
      <c r="FI27" s="31"/>
      <c r="FJ27" s="31"/>
      <c r="FK27" s="31"/>
      <c r="FL27" s="31"/>
      <c r="FM27" s="31"/>
      <c r="FN27" s="31"/>
      <c r="FO27" s="31"/>
      <c r="FP27" s="31"/>
      <c r="FQ27" s="31"/>
      <c r="FR27" s="31"/>
      <c r="FS27" s="31"/>
      <c r="FT27" s="31"/>
      <c r="FU27" s="31"/>
      <c r="FV27" s="31"/>
      <c r="FW27" s="31"/>
      <c r="FX27" s="31"/>
      <c r="FY27" s="31"/>
      <c r="FZ27" s="31"/>
      <c r="GA27" s="31"/>
      <c r="GB27" s="31"/>
      <c r="GC27" s="31"/>
      <c r="GD27" s="31"/>
      <c r="GE27" s="31"/>
      <c r="GF27" s="31"/>
      <c r="GG27" s="31"/>
      <c r="GH27" s="31"/>
      <c r="GI27" s="31"/>
      <c r="GJ27" s="31"/>
      <c r="GK27" s="31"/>
      <c r="GL27" s="31"/>
      <c r="GM27" s="31"/>
      <c r="GN27" s="31"/>
      <c r="GO27" s="31"/>
      <c r="GP27" s="31"/>
      <c r="GQ27" s="31"/>
      <c r="GR27" s="31"/>
      <c r="GS27" s="31"/>
      <c r="GT27" s="31"/>
      <c r="GU27" s="31"/>
      <c r="GV27" s="31"/>
      <c r="GW27" s="31"/>
      <c r="GX27" s="31"/>
      <c r="GY27" s="31"/>
      <c r="GZ27" s="31"/>
      <c r="HA27" s="31"/>
      <c r="HB27" s="31"/>
      <c r="HC27" s="31"/>
    </row>
    <row r="28" spans="1:211" s="3" customFormat="1" ht="30" customHeight="1" thickBot="1" x14ac:dyDescent="0.3">
      <c r="A28" s="45"/>
      <c r="B28" s="24" t="s">
        <v>58</v>
      </c>
      <c r="C28" s="58"/>
      <c r="D28" s="25"/>
      <c r="E28" s="77"/>
      <c r="F28" s="78"/>
      <c r="G28" s="14"/>
      <c r="H28" s="14" t="str">
        <f t="shared" si="164"/>
        <v/>
      </c>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c r="BM28" s="31"/>
      <c r="BN28" s="31"/>
      <c r="BO28" s="31"/>
      <c r="BP28" s="31"/>
      <c r="BQ28" s="31"/>
      <c r="BR28" s="31"/>
      <c r="BS28" s="31"/>
      <c r="BT28" s="31"/>
      <c r="BU28" s="31"/>
      <c r="BV28" s="31"/>
      <c r="BW28" s="31"/>
      <c r="BX28" s="31"/>
      <c r="BY28" s="31"/>
      <c r="BZ28" s="31"/>
      <c r="CA28" s="31"/>
      <c r="CB28" s="31"/>
      <c r="CC28" s="31"/>
      <c r="CD28" s="31"/>
      <c r="CE28" s="31"/>
      <c r="CF28" s="31"/>
      <c r="CG28" s="31"/>
      <c r="CH28" s="31"/>
      <c r="CI28" s="31"/>
      <c r="CJ28" s="31"/>
      <c r="CK28" s="31"/>
      <c r="CL28" s="31"/>
      <c r="CM28" s="31"/>
      <c r="CN28" s="31"/>
      <c r="CO28" s="31"/>
      <c r="CP28" s="31"/>
      <c r="CQ28" s="31"/>
      <c r="CR28" s="31"/>
      <c r="CS28" s="31"/>
      <c r="CT28" s="31"/>
      <c r="CU28" s="31"/>
      <c r="CV28" s="31"/>
      <c r="CW28" s="31"/>
      <c r="CX28" s="31"/>
      <c r="CY28" s="31"/>
      <c r="CZ28" s="31"/>
      <c r="DA28" s="31"/>
      <c r="DB28" s="31"/>
      <c r="DC28" s="31"/>
      <c r="DD28" s="31"/>
      <c r="DE28" s="31"/>
      <c r="DF28" s="31"/>
      <c r="DG28" s="31"/>
      <c r="DH28" s="31"/>
      <c r="DI28" s="31"/>
      <c r="DJ28" s="31"/>
      <c r="DK28" s="31"/>
      <c r="DL28" s="31"/>
      <c r="DM28" s="31"/>
      <c r="DN28" s="31"/>
      <c r="DO28" s="31"/>
      <c r="DP28" s="31"/>
      <c r="DQ28" s="31"/>
      <c r="DR28" s="31"/>
      <c r="DS28" s="31"/>
      <c r="DT28" s="31"/>
      <c r="DU28" s="31"/>
      <c r="DV28" s="31"/>
      <c r="DW28" s="31"/>
      <c r="DX28" s="31"/>
      <c r="DY28" s="31"/>
      <c r="DZ28" s="31"/>
      <c r="EA28" s="31"/>
      <c r="EB28" s="31"/>
      <c r="EC28" s="31"/>
      <c r="ED28" s="31"/>
      <c r="EE28" s="31"/>
      <c r="EF28" s="31"/>
      <c r="EG28" s="31"/>
      <c r="EH28" s="31"/>
      <c r="EI28" s="31"/>
      <c r="EJ28" s="31"/>
      <c r="EK28" s="31"/>
      <c r="EL28" s="31"/>
      <c r="EM28" s="31"/>
      <c r="EN28" s="31"/>
      <c r="EO28" s="31"/>
      <c r="EP28" s="31"/>
      <c r="EQ28" s="31"/>
      <c r="ER28" s="31"/>
      <c r="ES28" s="31"/>
      <c r="ET28" s="31"/>
      <c r="EU28" s="31"/>
      <c r="EV28" s="31"/>
      <c r="EW28" s="31"/>
      <c r="EX28" s="31"/>
      <c r="EY28" s="31"/>
      <c r="EZ28" s="31"/>
      <c r="FA28" s="31"/>
      <c r="FB28" s="31"/>
      <c r="FC28" s="31"/>
      <c r="FD28" s="31"/>
      <c r="FE28" s="31"/>
      <c r="FF28" s="31"/>
      <c r="FG28" s="31"/>
      <c r="FH28" s="31"/>
      <c r="FI28" s="31"/>
      <c r="FJ28" s="31"/>
      <c r="FK28" s="31"/>
      <c r="FL28" s="31"/>
      <c r="FM28" s="31"/>
      <c r="FN28" s="31"/>
      <c r="FO28" s="31"/>
      <c r="FP28" s="31"/>
      <c r="FQ28" s="31"/>
      <c r="FR28" s="31"/>
      <c r="FS28" s="31"/>
      <c r="FT28" s="31"/>
      <c r="FU28" s="31"/>
      <c r="FV28" s="31"/>
      <c r="FW28" s="31"/>
      <c r="FX28" s="31"/>
      <c r="FY28" s="31"/>
      <c r="FZ28" s="31"/>
      <c r="GA28" s="31"/>
      <c r="GB28" s="31"/>
      <c r="GC28" s="31"/>
      <c r="GD28" s="31"/>
      <c r="GE28" s="31"/>
      <c r="GF28" s="31"/>
      <c r="GG28" s="31"/>
      <c r="GH28" s="31"/>
      <c r="GI28" s="31"/>
      <c r="GJ28" s="31"/>
      <c r="GK28" s="31"/>
      <c r="GL28" s="31"/>
      <c r="GM28" s="31"/>
      <c r="GN28" s="31"/>
      <c r="GO28" s="31"/>
      <c r="GP28" s="31"/>
      <c r="GQ28" s="31"/>
      <c r="GR28" s="31"/>
      <c r="GS28" s="31"/>
      <c r="GT28" s="31"/>
      <c r="GU28" s="31"/>
      <c r="GV28" s="31"/>
      <c r="GW28" s="31"/>
      <c r="GX28" s="31"/>
      <c r="GY28" s="31"/>
      <c r="GZ28" s="31"/>
      <c r="HA28" s="31"/>
      <c r="HB28" s="31"/>
      <c r="HC28" s="31"/>
    </row>
    <row r="29" spans="1:211" s="3" customFormat="1" ht="30" customHeight="1" thickBot="1" x14ac:dyDescent="0.3">
      <c r="A29" s="45"/>
      <c r="B29" s="94" t="s">
        <v>59</v>
      </c>
      <c r="C29" s="59"/>
      <c r="D29" s="26">
        <v>1</v>
      </c>
      <c r="E29" s="79">
        <f>F27+1</f>
        <v>46090</v>
      </c>
      <c r="F29" s="79">
        <f>E29+7</f>
        <v>46097</v>
      </c>
      <c r="G29" s="14"/>
      <c r="H29" s="14">
        <f t="shared" si="164"/>
        <v>8</v>
      </c>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c r="BM29" s="31"/>
      <c r="BN29" s="31"/>
      <c r="BO29" s="31"/>
      <c r="BP29" s="31"/>
      <c r="BQ29" s="31"/>
      <c r="BR29" s="31"/>
      <c r="BS29" s="31"/>
      <c r="BT29" s="31"/>
      <c r="BU29" s="31"/>
      <c r="BV29" s="31"/>
      <c r="BW29" s="31"/>
      <c r="BX29" s="31"/>
      <c r="BY29" s="31"/>
      <c r="BZ29" s="31"/>
      <c r="CA29" s="31"/>
      <c r="CB29" s="31"/>
      <c r="CC29" s="31"/>
      <c r="CD29" s="31"/>
      <c r="CE29" s="31"/>
      <c r="CF29" s="31"/>
      <c r="CG29" s="31"/>
      <c r="CH29" s="31"/>
      <c r="CI29" s="31"/>
      <c r="CJ29" s="31"/>
      <c r="CK29" s="31"/>
      <c r="CL29" s="31"/>
      <c r="CM29" s="31"/>
      <c r="CN29" s="31"/>
      <c r="CO29" s="31"/>
      <c r="CP29" s="31"/>
      <c r="CQ29" s="31"/>
      <c r="CR29" s="31"/>
      <c r="CS29" s="31"/>
      <c r="CT29" s="31"/>
      <c r="CU29" s="31"/>
      <c r="CV29" s="31"/>
      <c r="CW29" s="31"/>
      <c r="CX29" s="31"/>
      <c r="CY29" s="31"/>
      <c r="CZ29" s="31"/>
      <c r="DA29" s="31"/>
      <c r="DB29" s="31"/>
      <c r="DC29" s="31"/>
      <c r="DD29" s="31"/>
      <c r="DE29" s="31"/>
      <c r="DF29" s="31"/>
      <c r="DG29" s="31"/>
      <c r="DH29" s="31"/>
      <c r="DI29" s="31"/>
      <c r="DJ29" s="31"/>
      <c r="DK29" s="31"/>
      <c r="DL29" s="31"/>
      <c r="DM29" s="31"/>
      <c r="DN29" s="31"/>
      <c r="DO29" s="31"/>
      <c r="DP29" s="31"/>
      <c r="DQ29" s="31"/>
      <c r="DR29" s="31"/>
      <c r="DS29" s="31"/>
      <c r="DT29" s="31"/>
      <c r="DU29" s="31"/>
      <c r="DV29" s="31"/>
      <c r="DW29" s="31"/>
      <c r="DX29" s="31"/>
      <c r="DY29" s="31"/>
      <c r="DZ29" s="31"/>
      <c r="EA29" s="31"/>
      <c r="EB29" s="31"/>
      <c r="EC29" s="31"/>
      <c r="ED29" s="31"/>
      <c r="EE29" s="31"/>
      <c r="EF29" s="31"/>
      <c r="EG29" s="31"/>
      <c r="EH29" s="31"/>
      <c r="EI29" s="31"/>
      <c r="EJ29" s="31"/>
      <c r="EK29" s="31"/>
      <c r="EL29" s="31"/>
      <c r="EM29" s="31"/>
      <c r="EN29" s="31"/>
      <c r="EO29" s="31"/>
      <c r="EP29" s="31"/>
      <c r="EQ29" s="31"/>
      <c r="ER29" s="31"/>
      <c r="ES29" s="31"/>
      <c r="ET29" s="31"/>
      <c r="EU29" s="31"/>
      <c r="EV29" s="31"/>
      <c r="EW29" s="31"/>
      <c r="EX29" s="31"/>
      <c r="EY29" s="31"/>
      <c r="EZ29" s="31"/>
      <c r="FA29" s="31"/>
      <c r="FB29" s="31"/>
      <c r="FC29" s="31"/>
      <c r="FD29" s="31"/>
      <c r="FE29" s="31"/>
      <c r="FF29" s="31"/>
      <c r="FG29" s="31"/>
      <c r="FH29" s="31"/>
      <c r="FI29" s="31"/>
      <c r="FJ29" s="31"/>
      <c r="FK29" s="31"/>
      <c r="FL29" s="31"/>
      <c r="FM29" s="31"/>
      <c r="FN29" s="31"/>
      <c r="FO29" s="31"/>
      <c r="FP29" s="31"/>
      <c r="FQ29" s="31"/>
      <c r="FR29" s="31"/>
      <c r="FS29" s="31"/>
      <c r="FT29" s="31"/>
      <c r="FU29" s="31"/>
      <c r="FV29" s="31"/>
      <c r="FW29" s="31"/>
      <c r="FX29" s="31"/>
      <c r="FY29" s="31"/>
      <c r="FZ29" s="31"/>
      <c r="GA29" s="31"/>
      <c r="GB29" s="31"/>
      <c r="GC29" s="31"/>
      <c r="GD29" s="31"/>
      <c r="GE29" s="31"/>
      <c r="GF29" s="31"/>
      <c r="GG29" s="31"/>
      <c r="GH29" s="31"/>
      <c r="GI29" s="31"/>
      <c r="GJ29" s="31"/>
      <c r="GK29" s="31"/>
      <c r="GL29" s="31"/>
      <c r="GM29" s="31"/>
      <c r="GN29" s="31"/>
      <c r="GO29" s="31"/>
      <c r="GP29" s="31"/>
      <c r="GQ29" s="31"/>
      <c r="GR29" s="31"/>
      <c r="GS29" s="31"/>
      <c r="GT29" s="31"/>
      <c r="GU29" s="31"/>
      <c r="GV29" s="31"/>
      <c r="GW29" s="31"/>
      <c r="GX29" s="31"/>
      <c r="GY29" s="31"/>
      <c r="GZ29" s="31"/>
      <c r="HA29" s="31"/>
      <c r="HB29" s="31"/>
      <c r="HC29" s="31"/>
    </row>
    <row r="30" spans="1:211" s="3" customFormat="1" ht="30" customHeight="1" thickBot="1" x14ac:dyDescent="0.3">
      <c r="A30" s="45"/>
      <c r="B30" s="94" t="s">
        <v>60</v>
      </c>
      <c r="C30" s="59"/>
      <c r="D30" s="26">
        <v>1</v>
      </c>
      <c r="E30" s="79">
        <f>F29+1</f>
        <v>46098</v>
      </c>
      <c r="F30" s="79">
        <f>E30+14</f>
        <v>46112</v>
      </c>
      <c r="G30" s="14"/>
      <c r="H30" s="14">
        <f t="shared" si="164"/>
        <v>15</v>
      </c>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c r="BM30" s="31"/>
      <c r="BN30" s="31"/>
      <c r="BO30" s="31"/>
      <c r="BP30" s="31"/>
      <c r="BQ30" s="31"/>
      <c r="BR30" s="31"/>
      <c r="BS30" s="31"/>
      <c r="BT30" s="31"/>
      <c r="BU30" s="31"/>
      <c r="BV30" s="31"/>
      <c r="BW30" s="31"/>
      <c r="BX30" s="31"/>
      <c r="BY30" s="31"/>
      <c r="BZ30" s="31"/>
      <c r="CA30" s="31"/>
      <c r="CB30" s="31"/>
      <c r="CC30" s="31"/>
      <c r="CD30" s="31"/>
      <c r="CE30" s="31"/>
      <c r="CF30" s="31"/>
      <c r="CG30" s="31"/>
      <c r="CH30" s="31"/>
      <c r="CI30" s="31"/>
      <c r="CJ30" s="31"/>
      <c r="CK30" s="31"/>
      <c r="CL30" s="31"/>
      <c r="CM30" s="31"/>
      <c r="CN30" s="31"/>
      <c r="CO30" s="31"/>
      <c r="CP30" s="31"/>
      <c r="CQ30" s="31"/>
      <c r="CR30" s="31"/>
      <c r="CS30" s="31"/>
      <c r="CT30" s="31"/>
      <c r="CU30" s="31"/>
      <c r="CV30" s="31"/>
      <c r="CW30" s="31"/>
      <c r="CX30" s="31"/>
      <c r="CY30" s="31"/>
      <c r="CZ30" s="31"/>
      <c r="DA30" s="31"/>
      <c r="DB30" s="31"/>
      <c r="DC30" s="31"/>
      <c r="DD30" s="31"/>
      <c r="DE30" s="31"/>
      <c r="DF30" s="31"/>
      <c r="DG30" s="31"/>
      <c r="DH30" s="31"/>
      <c r="DI30" s="31"/>
      <c r="DJ30" s="31"/>
      <c r="DK30" s="31"/>
      <c r="DL30" s="31"/>
      <c r="DM30" s="31"/>
      <c r="DN30" s="31"/>
      <c r="DO30" s="31"/>
      <c r="DP30" s="31"/>
      <c r="DQ30" s="31"/>
      <c r="DR30" s="31"/>
      <c r="DS30" s="31"/>
      <c r="DT30" s="31"/>
      <c r="DU30" s="31"/>
      <c r="DV30" s="31"/>
      <c r="DW30" s="31"/>
      <c r="DX30" s="31"/>
      <c r="DY30" s="31"/>
      <c r="DZ30" s="31"/>
      <c r="EA30" s="31"/>
      <c r="EB30" s="31"/>
      <c r="EC30" s="31"/>
      <c r="ED30" s="31"/>
      <c r="EE30" s="31"/>
      <c r="EF30" s="31"/>
      <c r="EG30" s="31"/>
      <c r="EH30" s="31"/>
      <c r="EI30" s="31"/>
      <c r="EJ30" s="31"/>
      <c r="EK30" s="31"/>
      <c r="EL30" s="31"/>
      <c r="EM30" s="31"/>
      <c r="EN30" s="31"/>
      <c r="EO30" s="31"/>
      <c r="EP30" s="31"/>
      <c r="EQ30" s="31"/>
      <c r="ER30" s="31"/>
      <c r="ES30" s="31"/>
      <c r="ET30" s="31"/>
      <c r="EU30" s="31"/>
      <c r="EV30" s="31"/>
      <c r="EW30" s="31"/>
      <c r="EX30" s="31"/>
      <c r="EY30" s="31"/>
      <c r="EZ30" s="31"/>
      <c r="FA30" s="31"/>
      <c r="FB30" s="31"/>
      <c r="FC30" s="31"/>
      <c r="FD30" s="31"/>
      <c r="FE30" s="31"/>
      <c r="FF30" s="31"/>
      <c r="FG30" s="31"/>
      <c r="FH30" s="31"/>
      <c r="FI30" s="31"/>
      <c r="FJ30" s="31"/>
      <c r="FK30" s="31"/>
      <c r="FL30" s="31"/>
      <c r="FM30" s="31"/>
      <c r="FN30" s="31"/>
      <c r="FO30" s="31"/>
      <c r="FP30" s="31"/>
      <c r="FQ30" s="31"/>
      <c r="FR30" s="31"/>
      <c r="FS30" s="31"/>
      <c r="FT30" s="31"/>
      <c r="FU30" s="31"/>
      <c r="FV30" s="31"/>
      <c r="FW30" s="31"/>
      <c r="FX30" s="31"/>
      <c r="FY30" s="31"/>
      <c r="FZ30" s="31"/>
      <c r="GA30" s="31"/>
      <c r="GB30" s="31"/>
      <c r="GC30" s="31"/>
      <c r="GD30" s="31"/>
      <c r="GE30" s="31"/>
      <c r="GF30" s="31"/>
      <c r="GG30" s="31"/>
      <c r="GH30" s="31"/>
      <c r="GI30" s="31"/>
      <c r="GJ30" s="31"/>
      <c r="GK30" s="31"/>
      <c r="GL30" s="31"/>
      <c r="GM30" s="31"/>
      <c r="GN30" s="31"/>
      <c r="GO30" s="31"/>
      <c r="GP30" s="31"/>
      <c r="GQ30" s="31"/>
      <c r="GR30" s="31"/>
      <c r="GS30" s="31"/>
      <c r="GT30" s="31"/>
      <c r="GU30" s="31"/>
      <c r="GV30" s="31"/>
      <c r="GW30" s="31"/>
      <c r="GX30" s="31"/>
      <c r="GY30" s="31"/>
      <c r="GZ30" s="31"/>
      <c r="HA30" s="31"/>
      <c r="HB30" s="31"/>
      <c r="HC30" s="31"/>
    </row>
    <row r="31" spans="1:211" s="3" customFormat="1" ht="30" customHeight="1" thickBot="1" x14ac:dyDescent="0.3">
      <c r="A31" s="45" t="s">
        <v>12</v>
      </c>
      <c r="B31" s="94" t="s">
        <v>61</v>
      </c>
      <c r="C31" s="59"/>
      <c r="D31" s="26">
        <v>1</v>
      </c>
      <c r="E31" s="79">
        <f>F30+1</f>
        <v>46113</v>
      </c>
      <c r="F31" s="79">
        <f>E31+14</f>
        <v>46127</v>
      </c>
      <c r="G31" s="14"/>
      <c r="H31" s="14">
        <f t="shared" si="164"/>
        <v>15</v>
      </c>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1"/>
      <c r="BK31" s="31"/>
      <c r="BL31" s="31"/>
      <c r="BM31" s="31"/>
      <c r="BN31" s="31"/>
      <c r="BO31" s="31"/>
      <c r="BP31" s="31"/>
      <c r="BQ31" s="31"/>
      <c r="BR31" s="31"/>
      <c r="BS31" s="31"/>
      <c r="BT31" s="31"/>
      <c r="BU31" s="31"/>
      <c r="BV31" s="31"/>
      <c r="BW31" s="31"/>
      <c r="BX31" s="31"/>
      <c r="BY31" s="31"/>
      <c r="BZ31" s="31"/>
      <c r="CA31" s="31"/>
      <c r="CB31" s="31"/>
      <c r="CC31" s="31"/>
      <c r="CD31" s="31"/>
      <c r="CE31" s="31"/>
      <c r="CF31" s="31"/>
      <c r="CG31" s="31"/>
      <c r="CH31" s="31"/>
      <c r="CI31" s="31"/>
      <c r="CJ31" s="31"/>
      <c r="CK31" s="31"/>
      <c r="CL31" s="31"/>
      <c r="CM31" s="31"/>
      <c r="CN31" s="31"/>
      <c r="CO31" s="31"/>
      <c r="CP31" s="31"/>
      <c r="CQ31" s="31"/>
      <c r="CR31" s="31"/>
      <c r="CS31" s="31"/>
      <c r="CT31" s="31"/>
      <c r="CU31" s="31"/>
      <c r="CV31" s="31"/>
      <c r="CW31" s="31"/>
      <c r="CX31" s="31"/>
      <c r="CY31" s="31"/>
      <c r="CZ31" s="31"/>
      <c r="DA31" s="31"/>
      <c r="DB31" s="31"/>
      <c r="DC31" s="31"/>
      <c r="DD31" s="31"/>
      <c r="DE31" s="31"/>
      <c r="DF31" s="31"/>
      <c r="DG31" s="31"/>
      <c r="DH31" s="31"/>
      <c r="DI31" s="31"/>
      <c r="DJ31" s="31"/>
      <c r="DK31" s="31"/>
      <c r="DL31" s="31"/>
      <c r="DM31" s="31"/>
      <c r="DN31" s="31"/>
      <c r="DO31" s="31"/>
      <c r="DP31" s="31"/>
      <c r="DQ31" s="31"/>
      <c r="DR31" s="31"/>
      <c r="DS31" s="31"/>
      <c r="DT31" s="31"/>
      <c r="DU31" s="31"/>
      <c r="DV31" s="31"/>
      <c r="DW31" s="31"/>
      <c r="DX31" s="31"/>
      <c r="DY31" s="31"/>
      <c r="DZ31" s="31"/>
      <c r="EA31" s="31"/>
      <c r="EB31" s="31"/>
      <c r="EC31" s="31"/>
      <c r="ED31" s="31"/>
      <c r="EE31" s="31"/>
      <c r="EF31" s="31"/>
      <c r="EG31" s="31"/>
      <c r="EH31" s="31"/>
      <c r="EI31" s="31"/>
      <c r="EJ31" s="31"/>
      <c r="EK31" s="31"/>
      <c r="EL31" s="31"/>
      <c r="EM31" s="31"/>
      <c r="EN31" s="31"/>
      <c r="EO31" s="31"/>
      <c r="EP31" s="31"/>
      <c r="EQ31" s="31"/>
      <c r="ER31" s="31"/>
      <c r="ES31" s="31"/>
      <c r="ET31" s="31"/>
      <c r="EU31" s="31"/>
      <c r="EV31" s="31"/>
      <c r="EW31" s="31"/>
      <c r="EX31" s="31"/>
      <c r="EY31" s="31"/>
      <c r="EZ31" s="31"/>
      <c r="FA31" s="31"/>
      <c r="FB31" s="31"/>
      <c r="FC31" s="31"/>
      <c r="FD31" s="31"/>
      <c r="FE31" s="31"/>
      <c r="FF31" s="31"/>
      <c r="FG31" s="31"/>
      <c r="FH31" s="31"/>
      <c r="FI31" s="31"/>
      <c r="FJ31" s="31"/>
      <c r="FK31" s="31"/>
      <c r="FL31" s="31"/>
      <c r="FM31" s="31"/>
      <c r="FN31" s="31"/>
      <c r="FO31" s="31"/>
      <c r="FP31" s="31"/>
      <c r="FQ31" s="31"/>
      <c r="FR31" s="31"/>
      <c r="FS31" s="31"/>
      <c r="FT31" s="31"/>
      <c r="FU31" s="31"/>
      <c r="FV31" s="31"/>
      <c r="FW31" s="31"/>
      <c r="FX31" s="31"/>
      <c r="FY31" s="31"/>
      <c r="FZ31" s="31"/>
      <c r="GA31" s="31"/>
      <c r="GB31" s="31"/>
      <c r="GC31" s="31"/>
      <c r="GD31" s="31"/>
      <c r="GE31" s="31"/>
      <c r="GF31" s="31"/>
      <c r="GG31" s="31"/>
      <c r="GH31" s="31"/>
      <c r="GI31" s="31"/>
      <c r="GJ31" s="31"/>
      <c r="GK31" s="31"/>
      <c r="GL31" s="31"/>
      <c r="GM31" s="31"/>
      <c r="GN31" s="31"/>
      <c r="GO31" s="31"/>
      <c r="GP31" s="31"/>
      <c r="GQ31" s="31"/>
      <c r="GR31" s="31"/>
      <c r="GS31" s="31"/>
      <c r="GT31" s="31"/>
      <c r="GU31" s="31"/>
      <c r="GV31" s="31"/>
      <c r="GW31" s="31"/>
      <c r="GX31" s="31"/>
      <c r="GY31" s="31"/>
      <c r="GZ31" s="31"/>
      <c r="HA31" s="31"/>
      <c r="HB31" s="31"/>
      <c r="HC31" s="31"/>
    </row>
    <row r="32" spans="1:211" s="3" customFormat="1" ht="30" customHeight="1" thickBot="1" x14ac:dyDescent="0.3">
      <c r="A32" s="46" t="s">
        <v>13</v>
      </c>
      <c r="B32" s="94" t="s">
        <v>62</v>
      </c>
      <c r="C32" s="59"/>
      <c r="D32" s="26">
        <v>1</v>
      </c>
      <c r="E32" s="79">
        <f>F31+1</f>
        <v>46128</v>
      </c>
      <c r="F32" s="79">
        <f>E32+7</f>
        <v>46135</v>
      </c>
      <c r="G32" s="30"/>
      <c r="H32" s="30">
        <f t="shared" si="164"/>
        <v>8</v>
      </c>
      <c r="I32" s="33"/>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3"/>
      <c r="BM32" s="33"/>
      <c r="BN32" s="33"/>
      <c r="BO32" s="33"/>
      <c r="BP32" s="33"/>
      <c r="BQ32" s="33"/>
      <c r="BR32" s="33"/>
      <c r="BS32" s="33"/>
      <c r="BT32" s="33"/>
      <c r="BU32" s="33"/>
      <c r="BV32" s="33"/>
      <c r="BW32" s="33"/>
      <c r="BX32" s="33"/>
      <c r="BY32" s="33"/>
      <c r="BZ32" s="33"/>
      <c r="CA32" s="33"/>
      <c r="CB32" s="33"/>
      <c r="CC32" s="33"/>
      <c r="CD32" s="33"/>
      <c r="CE32" s="33"/>
      <c r="CF32" s="33"/>
      <c r="CG32" s="33"/>
      <c r="CH32" s="33"/>
      <c r="CI32" s="33"/>
      <c r="CJ32" s="33"/>
      <c r="CK32" s="33"/>
      <c r="CL32" s="33"/>
      <c r="CM32" s="33"/>
      <c r="CN32" s="33"/>
      <c r="CO32" s="33"/>
      <c r="CP32" s="33"/>
      <c r="CQ32" s="33"/>
      <c r="CR32" s="33"/>
      <c r="CS32" s="33"/>
      <c r="CT32" s="33"/>
      <c r="CU32" s="33"/>
      <c r="CV32" s="33"/>
      <c r="CW32" s="33"/>
      <c r="CX32" s="33"/>
      <c r="CY32" s="33"/>
      <c r="CZ32" s="33"/>
      <c r="DA32" s="33"/>
      <c r="DB32" s="33"/>
      <c r="DC32" s="33"/>
      <c r="DD32" s="33"/>
      <c r="DE32" s="33"/>
      <c r="DF32" s="33"/>
      <c r="DG32" s="33"/>
      <c r="DH32" s="33"/>
      <c r="DI32" s="33"/>
      <c r="DJ32" s="33"/>
      <c r="DK32" s="33"/>
      <c r="DL32" s="33"/>
      <c r="DM32" s="33"/>
      <c r="DN32" s="33"/>
      <c r="DO32" s="33"/>
      <c r="DP32" s="33"/>
      <c r="DQ32" s="33"/>
      <c r="DR32" s="33"/>
      <c r="DS32" s="33"/>
      <c r="DT32" s="33"/>
      <c r="DU32" s="33"/>
      <c r="DV32" s="33"/>
      <c r="DW32" s="33"/>
      <c r="DX32" s="33"/>
      <c r="DY32" s="33"/>
      <c r="DZ32" s="33"/>
      <c r="EA32" s="33"/>
      <c r="EB32" s="33"/>
      <c r="EC32" s="33"/>
      <c r="ED32" s="33"/>
      <c r="EE32" s="33"/>
      <c r="EF32" s="33"/>
      <c r="EG32" s="33"/>
      <c r="EH32" s="33"/>
      <c r="EI32" s="33"/>
      <c r="EJ32" s="33"/>
      <c r="EK32" s="33"/>
      <c r="EL32" s="33"/>
      <c r="EM32" s="33"/>
      <c r="EN32" s="33"/>
      <c r="EO32" s="33"/>
      <c r="EP32" s="33"/>
      <c r="EQ32" s="33"/>
      <c r="ER32" s="33"/>
      <c r="ES32" s="33"/>
      <c r="ET32" s="33"/>
      <c r="EU32" s="33"/>
      <c r="EV32" s="33"/>
      <c r="EW32" s="33"/>
      <c r="EX32" s="33"/>
      <c r="EY32" s="33"/>
      <c r="EZ32" s="33"/>
      <c r="FA32" s="33"/>
      <c r="FB32" s="33"/>
      <c r="FC32" s="33"/>
      <c r="FD32" s="33"/>
      <c r="FE32" s="33"/>
      <c r="FF32" s="33"/>
      <c r="FG32" s="33"/>
      <c r="FH32" s="33"/>
      <c r="FI32" s="33"/>
      <c r="FJ32" s="33"/>
      <c r="FK32" s="33"/>
      <c r="FL32" s="33"/>
      <c r="FM32" s="33"/>
      <c r="FN32" s="33"/>
      <c r="FO32" s="33"/>
      <c r="FP32" s="33"/>
      <c r="FQ32" s="33"/>
      <c r="FR32" s="33"/>
      <c r="FS32" s="33"/>
      <c r="FT32" s="33"/>
      <c r="FU32" s="33"/>
      <c r="FV32" s="33"/>
      <c r="FW32" s="33"/>
      <c r="FX32" s="33"/>
      <c r="FY32" s="33"/>
      <c r="FZ32" s="33"/>
      <c r="GA32" s="33"/>
      <c r="GB32" s="33"/>
      <c r="GC32" s="33"/>
      <c r="GD32" s="33"/>
      <c r="GE32" s="33"/>
      <c r="GF32" s="33"/>
      <c r="GG32" s="33"/>
      <c r="GH32" s="33"/>
      <c r="GI32" s="33"/>
      <c r="GJ32" s="33"/>
      <c r="GK32" s="33"/>
      <c r="GL32" s="33"/>
      <c r="GM32" s="33"/>
      <c r="GN32" s="33"/>
      <c r="GO32" s="33"/>
      <c r="GP32" s="33"/>
      <c r="GQ32" s="33"/>
      <c r="GR32" s="33"/>
      <c r="GS32" s="33"/>
      <c r="GT32" s="33"/>
      <c r="GU32" s="33"/>
      <c r="GV32" s="33"/>
      <c r="GW32" s="33"/>
      <c r="GX32" s="33"/>
      <c r="GY32" s="33"/>
      <c r="GZ32" s="33"/>
      <c r="HA32" s="33"/>
      <c r="HB32" s="33"/>
      <c r="HC32" s="33"/>
    </row>
    <row r="33" spans="2:7" ht="30" customHeight="1" thickBot="1" x14ac:dyDescent="0.3">
      <c r="B33" s="94" t="s">
        <v>63</v>
      </c>
      <c r="C33" s="59"/>
      <c r="D33" s="26">
        <v>1</v>
      </c>
      <c r="E33" s="79">
        <f>F32+1</f>
        <v>46136</v>
      </c>
      <c r="F33" s="79">
        <f>E33+8</f>
        <v>46144</v>
      </c>
      <c r="G33" s="6"/>
    </row>
    <row r="34" spans="2:7" ht="30" customHeight="1" thickBot="1" x14ac:dyDescent="0.3">
      <c r="B34" s="64"/>
      <c r="C34" s="60"/>
      <c r="D34" s="13"/>
      <c r="E34" s="80"/>
      <c r="F34" s="80"/>
    </row>
    <row r="35" spans="2:7" ht="30" customHeight="1" thickBot="1" x14ac:dyDescent="0.3">
      <c r="B35" s="27" t="s">
        <v>15</v>
      </c>
      <c r="C35" s="28"/>
      <c r="D35" s="29"/>
      <c r="E35" s="81"/>
      <c r="F35" s="82"/>
    </row>
    <row r="37" spans="2:7" ht="30" customHeight="1" x14ac:dyDescent="0.25">
      <c r="C37" s="11"/>
      <c r="F37" s="47"/>
    </row>
    <row r="38" spans="2:7" ht="30" customHeight="1" x14ac:dyDescent="0.25">
      <c r="C38" s="12"/>
    </row>
  </sheetData>
  <mergeCells count="32">
    <mergeCell ref="EZ4:FF4"/>
    <mergeCell ref="FG4:FM4"/>
    <mergeCell ref="DQ4:DW4"/>
    <mergeCell ref="DX4:ED4"/>
    <mergeCell ref="EE4:EK4"/>
    <mergeCell ref="EL4:ER4"/>
    <mergeCell ref="ES4:EY4"/>
    <mergeCell ref="C3:D3"/>
    <mergeCell ref="C4:D4"/>
    <mergeCell ref="AK4:AQ4"/>
    <mergeCell ref="AR4:AX4"/>
    <mergeCell ref="AY4:BE4"/>
    <mergeCell ref="DJ4:DP4"/>
    <mergeCell ref="BF4:BL4"/>
    <mergeCell ref="E3:F3"/>
    <mergeCell ref="I4:O4"/>
    <mergeCell ref="P4:V4"/>
    <mergeCell ref="W4:AC4"/>
    <mergeCell ref="AD4:AJ4"/>
    <mergeCell ref="CH4:CN4"/>
    <mergeCell ref="CO4:CU4"/>
    <mergeCell ref="CV4:DB4"/>
    <mergeCell ref="DC4:DI4"/>
    <mergeCell ref="BM4:BS4"/>
    <mergeCell ref="BT4:BZ4"/>
    <mergeCell ref="CA4:CG4"/>
    <mergeCell ref="GW4:HC4"/>
    <mergeCell ref="FN4:FT4"/>
    <mergeCell ref="FU4:GA4"/>
    <mergeCell ref="GB4:GH4"/>
    <mergeCell ref="GI4:GO4"/>
    <mergeCell ref="GP4:GV4"/>
  </mergeCells>
  <conditionalFormatting sqref="D7:D35">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HC32">
    <cfRule type="expression" dxfId="2" priority="33">
      <formula>AND(TODAY()&gt;=I$5,TODAY()&lt;J$5)</formula>
    </cfRule>
  </conditionalFormatting>
  <conditionalFormatting sqref="I7:HC32">
    <cfRule type="expression" dxfId="1" priority="27">
      <formula>AND(task_start&lt;=I$5,ROUNDDOWN((task_end-task_start+1)*task_progress,0)+task_start-1&gt;=I$5)</formula>
    </cfRule>
    <cfRule type="expression" dxfId="0" priority="28" stopIfTrue="1">
      <formula>AND(task_end&gt;=I$5,task_start&lt;J$5)</formula>
    </cfRule>
  </conditionalFormatting>
  <dataValidations count="1">
    <dataValidation type="whole" operator="greaterThanOrEqual" allowBlank="1" showInputMessage="1" promptTitle="Display Week" prompt="Changing this number will scroll the Gantt Chart view." sqref="E4" xr:uid="{00000000-0002-0000-0000-000000000000}">
      <formula1>1</formula1>
    </dataValidation>
  </dataValidations>
  <printOptions horizontalCentered="1"/>
  <pageMargins left="0.35" right="0.35" top="0.35" bottom="0.5" header="0.3" footer="0.3"/>
  <pageSetup paperSize="9" scale="23"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defaultColWidth="9.140625" defaultRowHeight="12.75" x14ac:dyDescent="0.2"/>
  <cols>
    <col min="1" max="1" width="87.140625" style="35" customWidth="1"/>
    <col min="2" max="16384" width="9.140625" style="2"/>
  </cols>
  <sheetData>
    <row r="1" spans="1:2" ht="46.5" customHeight="1" x14ac:dyDescent="0.2"/>
    <row r="2" spans="1:2" s="37" customFormat="1" ht="15.75" x14ac:dyDescent="0.25">
      <c r="A2" s="36" t="s">
        <v>22</v>
      </c>
      <c r="B2" s="36"/>
    </row>
    <row r="3" spans="1:2" s="41" customFormat="1" ht="27" customHeight="1" x14ac:dyDescent="0.25">
      <c r="A3" s="67" t="s">
        <v>23</v>
      </c>
      <c r="B3" s="42"/>
    </row>
    <row r="4" spans="1:2" s="38" customFormat="1" ht="26.25" x14ac:dyDescent="0.4">
      <c r="A4" s="39" t="s">
        <v>24</v>
      </c>
    </row>
    <row r="5" spans="1:2" ht="74.099999999999994" customHeight="1" x14ac:dyDescent="0.2">
      <c r="A5" s="40" t="s">
        <v>25</v>
      </c>
    </row>
    <row r="6" spans="1:2" ht="26.25" customHeight="1" x14ac:dyDescent="0.2">
      <c r="A6" s="39" t="s">
        <v>26</v>
      </c>
    </row>
    <row r="7" spans="1:2" s="35" customFormat="1" ht="204.95" customHeight="1" x14ac:dyDescent="0.25">
      <c r="A7" s="44" t="s">
        <v>27</v>
      </c>
    </row>
    <row r="8" spans="1:2" s="38" customFormat="1" ht="26.25" x14ac:dyDescent="0.4">
      <c r="A8" s="39" t="s">
        <v>28</v>
      </c>
    </row>
    <row r="9" spans="1:2" ht="60" x14ac:dyDescent="0.2">
      <c r="A9" s="40" t="s">
        <v>29</v>
      </c>
    </row>
    <row r="10" spans="1:2" s="35" customFormat="1" ht="27.95" customHeight="1" x14ac:dyDescent="0.25">
      <c r="A10" s="43" t="s">
        <v>30</v>
      </c>
    </row>
    <row r="11" spans="1:2" s="38" customFormat="1" ht="26.25" x14ac:dyDescent="0.4">
      <c r="A11" s="39" t="s">
        <v>31</v>
      </c>
    </row>
    <row r="12" spans="1:2" ht="30" x14ac:dyDescent="0.2">
      <c r="A12" s="40" t="s">
        <v>32</v>
      </c>
    </row>
    <row r="13" spans="1:2" s="35" customFormat="1" ht="27.95" customHeight="1" x14ac:dyDescent="0.25">
      <c r="A13" s="43" t="s">
        <v>33</v>
      </c>
    </row>
    <row r="14" spans="1:2" s="38" customFormat="1" ht="26.25" x14ac:dyDescent="0.4">
      <c r="A14" s="39" t="s">
        <v>34</v>
      </c>
    </row>
    <row r="15" spans="1:2" ht="75" customHeight="1" x14ac:dyDescent="0.2">
      <c r="A15" s="40" t="s">
        <v>35</v>
      </c>
    </row>
    <row r="16" spans="1:2" ht="75" x14ac:dyDescent="0.2">
      <c r="A16" s="40" t="s">
        <v>36</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4e6bee01-fae3-4e1c-8f1a-9ed0fe9197f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F0F6E24CBBDF2489BB0C7D787BF1FA9" ma:contentTypeVersion="15" ma:contentTypeDescription="Create a new document." ma:contentTypeScope="" ma:versionID="418a82b635a3547a83e852a7fed9e6aa">
  <xsd:schema xmlns:xsd="http://www.w3.org/2001/XMLSchema" xmlns:xs="http://www.w3.org/2001/XMLSchema" xmlns:p="http://schemas.microsoft.com/office/2006/metadata/properties" xmlns:ns3="4e6bee01-fae3-4e1c-8f1a-9ed0fe9197f3" xmlns:ns4="9ebee74b-6c09-439e-a20a-fc6d1b49bd2d" targetNamespace="http://schemas.microsoft.com/office/2006/metadata/properties" ma:root="true" ma:fieldsID="99b70087c01a4fce34d5746d2f7d563a" ns3:_="" ns4:_="">
    <xsd:import namespace="4e6bee01-fae3-4e1c-8f1a-9ed0fe9197f3"/>
    <xsd:import namespace="9ebee74b-6c09-439e-a20a-fc6d1b49bd2d"/>
    <xsd:element name="properties">
      <xsd:complexType>
        <xsd:sequence>
          <xsd:element name="documentManagement">
            <xsd:complexType>
              <xsd:all>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ObjectDetectorVersions" minOccurs="0"/>
                <xsd:element ref="ns3:MediaServiceAutoTags" minOccurs="0"/>
                <xsd:element ref="ns3:MediaServiceGenerationTime" minOccurs="0"/>
                <xsd:element ref="ns3:MediaServiceEventHashCode" minOccurs="0"/>
                <xsd:element ref="ns3:MediaServiceOCR" minOccurs="0"/>
                <xsd:element ref="ns3:MediaServiceSystemTags" minOccurs="0"/>
                <xsd:element ref="ns3:MediaLengthInSeconds" minOccurs="0"/>
                <xsd:element ref="ns3:MediaServiceSearchPropertie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6bee01-fae3-4e1c-8f1a-9ed0fe9197f3"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SystemTags" ma:index="19" nillable="true" ma:displayName="MediaServiceSystemTags" ma:hidden="true" ma:internalName="MediaServiceSystemTags" ma:readOnly="true">
      <xsd:simpleType>
        <xsd:restriction base="dms:Note"/>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descriptio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ebee74b-6c09-439e-a20a-fc6d1b49bd2d" elementFormDefault="qualified">
    <xsd:import namespace="http://schemas.microsoft.com/office/2006/documentManagement/types"/>
    <xsd:import namespace="http://schemas.microsoft.com/office/infopath/2007/PartnerControls"/>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SharingHintHash" ma:index="11"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C3AD2E1-977A-4D4F-8EE8-D64B5FFADF75}">
  <ds:schemaRefs>
    <ds:schemaRef ds:uri="http://schemas.microsoft.com/office/2006/metadata/properties"/>
    <ds:schemaRef ds:uri="http://www.w3.org/XML/1998/namespace"/>
    <ds:schemaRef ds:uri="http://purl.org/dc/dcmitype/"/>
    <ds:schemaRef ds:uri="http://purl.org/dc/terms/"/>
    <ds:schemaRef ds:uri="9ebee74b-6c09-439e-a20a-fc6d1b49bd2d"/>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4e6bee01-fae3-4e1c-8f1a-9ed0fe9197f3"/>
  </ds:schemaRefs>
</ds:datastoreItem>
</file>

<file path=customXml/itemProps2.xml><?xml version="1.0" encoding="utf-8"?>
<ds:datastoreItem xmlns:ds="http://schemas.openxmlformats.org/officeDocument/2006/customXml" ds:itemID="{9DF36E1E-1FE2-4454-ACC1-89112F0DC62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e6bee01-fae3-4e1c-8f1a-9ed0fe9197f3"/>
    <ds:schemaRef ds:uri="9ebee74b-6c09-439e-a20a-fc6d1b49bd2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4A34E49-7289-4AEA-9593-4F55E04ADB1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ProjectSchedule</vt:lpstr>
      <vt:lpstr>About</vt:lpstr>
      <vt:lpstr>Display_Week</vt:lpstr>
      <vt:lpstr>ProjectSchedule!Print_Titles</vt:lpstr>
      <vt:lpstr>Project_Start</vt:lpstr>
      <vt:lpstr>ProjectSchedule!task_end</vt:lpstr>
      <vt:lpstr>ProjectSchedule!task_progress</vt:lpstr>
      <vt:lpstr>ProjectSchedule!task_start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2026-05-05T00:35:25Z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0x0101008F0F6E24CBBDF2489BB0C7D787BF1FA9</vt:lpwstr>
  </property>
</Properties>
</file>